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0" yWindow="1140" windowWidth="21840" windowHeight="13970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O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"/>
  <sheetViews>
    <sheetView tabSelected="1" topLeftCell="A58" workbookViewId="0">
      <selection activeCell="C74" sqref="C74"/>
    </sheetView>
  </sheetViews>
  <sheetFormatPr baseColWidth="8" defaultRowHeight="14.5"/>
  <cols>
    <col width="10" customWidth="1" min="1" max="1"/>
    <col width="40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  <col width="14" customWidth="1" min="8" max="8"/>
    <col width="12" customWidth="1" min="9" max="9"/>
    <col width="26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  <c r="H1" s="1" t="inlineStr">
        <is>
          <t>discount_mode</t>
        </is>
      </c>
      <c r="I1" s="1" t="inlineStr">
        <is>
          <t>discount_rate</t>
        </is>
      </c>
      <c r="J1" s="1" t="inlineStr">
        <is>
          <t>discount_label</t>
        </is>
      </c>
      <c r="K1" s="1" t="inlineStr">
        <is>
          <t>price_discounted</t>
        </is>
      </c>
    </row>
    <row r="2">
      <c r="A2" s="2" t="n">
        <v>1</v>
      </c>
      <c r="B2" s="2" t="inlineStr">
        <is>
          <t>Anillo ajustable con perla - Modelo 1</t>
        </is>
      </c>
      <c r="C2" s="3" t="n">
        <v>50</v>
      </c>
      <c r="D2" s="2" t="inlineStr">
        <is>
          <t>1.jpg</t>
        </is>
      </c>
      <c r="E2" s="2" t="inlineStr">
        <is>
          <t>Anillo ajustable con perla natural y acabado dorado.</t>
        </is>
      </c>
      <c r="F2" s="2" t="inlineStr">
        <is>
          <t>Anillos</t>
        </is>
      </c>
      <c r="G2" s="2" t="n">
        <v>5</v>
      </c>
      <c r="H2" s="2">
        <f>Configuracion!$B$2</f>
        <v/>
      </c>
      <c r="I2" s="4">
        <f>Configuracion!$B$3</f>
        <v/>
      </c>
      <c r="J2" s="2">
        <f>IF(UPPER(Configuracion!$B$2)="ON",Configuracion!$B$4,"")</f>
        <v/>
      </c>
      <c r="K2" s="3">
        <f>IF(UPPER(Configuracion!$B$2)="ON",ROUND(C2*(1-Configuracion!$B$3),0),ROUND(C2,0))</f>
        <v/>
      </c>
    </row>
    <row r="3">
      <c r="A3" s="2" t="n">
        <v>2</v>
      </c>
      <c r="B3" s="2" t="inlineStr">
        <is>
          <t>Anillo ajustable con perla - Modelo 2</t>
        </is>
      </c>
      <c r="C3" s="3" t="n">
        <v>50</v>
      </c>
      <c r="D3" s="2" t="inlineStr">
        <is>
          <t>2.jpg</t>
        </is>
      </c>
      <c r="E3" s="2" t="inlineStr">
        <is>
          <t>Anillo ajustable con perla natural y acabado dorado.</t>
        </is>
      </c>
      <c r="F3" s="2" t="inlineStr">
        <is>
          <t>Anillos</t>
        </is>
      </c>
      <c r="G3" s="2" t="n">
        <v>5</v>
      </c>
      <c r="H3" s="2">
        <f>Configuracion!$B$2</f>
        <v/>
      </c>
      <c r="I3" s="4">
        <f>Configuracion!$B$3</f>
        <v/>
      </c>
      <c r="J3" s="2">
        <f>IF(UPPER(Configuracion!$B$2)="ON",Configuracion!$B$4,"")</f>
        <v/>
      </c>
      <c r="K3" s="3">
        <f>IF(UPPER(Configuracion!$B$2)="ON",ROUND(C3*(1-Configuracion!$B$3),0),ROUND(C3,0))</f>
        <v/>
      </c>
    </row>
    <row r="4">
      <c r="A4" s="2" t="n">
        <v>3</v>
      </c>
      <c r="B4" s="2" t="inlineStr">
        <is>
          <t>Anillo ajustable con perla - Modelo 3</t>
        </is>
      </c>
      <c r="C4" s="3" t="n">
        <v>55</v>
      </c>
      <c r="D4" s="2" t="inlineStr">
        <is>
          <t>3.jpg</t>
        </is>
      </c>
      <c r="E4" s="2" t="inlineStr">
        <is>
          <t>Anillo ajustable con perla natural y acabado dorado.</t>
        </is>
      </c>
      <c r="F4" s="2" t="inlineStr">
        <is>
          <t>Anillos</t>
        </is>
      </c>
      <c r="G4" s="2" t="n">
        <v>5</v>
      </c>
      <c r="H4" s="2">
        <f>Configuracion!$B$2</f>
        <v/>
      </c>
      <c r="I4" s="4">
        <f>Configuracion!$B$3</f>
        <v/>
      </c>
      <c r="J4" s="2">
        <f>IF(UPPER(Configuracion!$B$2)="ON",Configuracion!$B$4,"")</f>
        <v/>
      </c>
      <c r="K4" s="3">
        <f>IF(UPPER(Configuracion!$B$2)="ON",ROUND(C4*(1-Configuracion!$B$3),0),ROUND(C4,0))</f>
        <v/>
      </c>
    </row>
    <row r="5">
      <c r="A5" s="2" t="n">
        <v>4</v>
      </c>
      <c r="B5" s="2" t="inlineStr">
        <is>
          <t>Anillo ajustable con perla - Modelo 4</t>
        </is>
      </c>
      <c r="C5" s="3" t="n">
        <v>55</v>
      </c>
      <c r="D5" s="2" t="inlineStr">
        <is>
          <t>4.jpg</t>
        </is>
      </c>
      <c r="E5" s="2" t="inlineStr">
        <is>
          <t>Anillo ajustable con perla natural y acabado dorado.</t>
        </is>
      </c>
      <c r="F5" s="2" t="inlineStr">
        <is>
          <t>Anillos</t>
        </is>
      </c>
      <c r="G5" s="2" t="n">
        <v>5</v>
      </c>
      <c r="H5" s="2">
        <f>Configuracion!$B$2</f>
        <v/>
      </c>
      <c r="I5" s="4">
        <f>Configuracion!$B$3</f>
        <v/>
      </c>
      <c r="J5" s="2">
        <f>IF(UPPER(Configuracion!$B$2)="ON",Configuracion!$B$4,"")</f>
        <v/>
      </c>
      <c r="K5" s="3">
        <f>IF(UPPER(Configuracion!$B$2)="ON",ROUND(C5*(1-Configuracion!$B$3),0),ROUND(C5,0))</f>
        <v/>
      </c>
    </row>
    <row r="6">
      <c r="A6" s="2" t="n">
        <v>5</v>
      </c>
      <c r="B6" s="2" t="inlineStr">
        <is>
          <t>Anillo ajustable con perla - Modelo 5</t>
        </is>
      </c>
      <c r="C6" s="3" t="n">
        <v>50</v>
      </c>
      <c r="D6" s="2" t="inlineStr">
        <is>
          <t>5.jpg</t>
        </is>
      </c>
      <c r="E6" s="2" t="inlineStr">
        <is>
          <t>Anillo ajustable con perla natural y acabado dorado.</t>
        </is>
      </c>
      <c r="F6" s="2" t="inlineStr">
        <is>
          <t>Anillos</t>
        </is>
      </c>
      <c r="G6" s="2" t="n">
        <v>5</v>
      </c>
      <c r="H6" s="2">
        <f>Configuracion!$B$2</f>
        <v/>
      </c>
      <c r="I6" s="4">
        <f>Configuracion!$B$3</f>
        <v/>
      </c>
      <c r="J6" s="2">
        <f>IF(UPPER(Configuracion!$B$2)="ON",Configuracion!$B$4,"")</f>
        <v/>
      </c>
      <c r="K6" s="3">
        <f>IF(UPPER(Configuracion!$B$2)="ON",ROUND(C6*(1-Configuracion!$B$3),0),ROUND(C6,0))</f>
        <v/>
      </c>
    </row>
    <row r="7">
      <c r="A7" s="2" t="n">
        <v>6</v>
      </c>
      <c r="B7" s="2" t="inlineStr">
        <is>
          <t>Anillo ajustable con perla - Modelo 6</t>
        </is>
      </c>
      <c r="C7" s="3" t="n">
        <v>40</v>
      </c>
      <c r="D7" s="2" t="inlineStr">
        <is>
          <t>6.jpg</t>
        </is>
      </c>
      <c r="E7" s="2" t="inlineStr">
        <is>
          <t>Anillo ajustable con perla natural y acabado dorado.</t>
        </is>
      </c>
      <c r="F7" s="2" t="inlineStr">
        <is>
          <t>Anillos</t>
        </is>
      </c>
      <c r="G7" s="2" t="n">
        <v>5</v>
      </c>
      <c r="H7" s="2">
        <f>Configuracion!$B$2</f>
        <v/>
      </c>
      <c r="I7" s="4">
        <f>Configuracion!$B$3</f>
        <v/>
      </c>
      <c r="J7" s="2">
        <f>IF(UPPER(Configuracion!$B$2)="ON",Configuracion!$B$4,"")</f>
        <v/>
      </c>
      <c r="K7" s="3">
        <f>IF(UPPER(Configuracion!$B$2)="ON",ROUND(C7*(1-Configuracion!$B$3),0),ROUND(C7,0))</f>
        <v/>
      </c>
    </row>
    <row r="8">
      <c r="A8" s="2" t="n">
        <v>7</v>
      </c>
      <c r="B8" s="2" t="inlineStr">
        <is>
          <t>Anillo ajustable con perla - Modelo 7</t>
        </is>
      </c>
      <c r="C8" s="3" t="n">
        <v>50</v>
      </c>
      <c r="D8" s="2" t="inlineStr">
        <is>
          <t>7.jpg</t>
        </is>
      </c>
      <c r="E8" s="2" t="inlineStr">
        <is>
          <t>Anillo ajustable con perla natural y acabado dorado.</t>
        </is>
      </c>
      <c r="F8" s="2" t="inlineStr">
        <is>
          <t>Anillos</t>
        </is>
      </c>
      <c r="G8" s="2" t="n">
        <v>5</v>
      </c>
      <c r="H8" s="2">
        <f>Configuracion!$B$2</f>
        <v/>
      </c>
      <c r="I8" s="4">
        <f>Configuracion!$B$3</f>
        <v/>
      </c>
      <c r="J8" s="2">
        <f>IF(UPPER(Configuracion!$B$2)="ON",Configuracion!$B$4,"")</f>
        <v/>
      </c>
      <c r="K8" s="3">
        <f>IF(UPPER(Configuracion!$B$2)="ON",ROUND(C8*(1-Configuracion!$B$3),0),ROUND(C8,0))</f>
        <v/>
      </c>
    </row>
    <row r="9">
      <c r="A9" s="2" t="n">
        <v>8</v>
      </c>
      <c r="B9" s="2" t="inlineStr">
        <is>
          <t>Anillo ajustable con perla - Modelo 8</t>
        </is>
      </c>
      <c r="C9" s="3" t="n">
        <v>40</v>
      </c>
      <c r="D9" s="2" t="inlineStr">
        <is>
          <t>8.jpg</t>
        </is>
      </c>
      <c r="E9" s="2" t="inlineStr">
        <is>
          <t>Anillo ajustable con perla natural y acabado dorado.</t>
        </is>
      </c>
      <c r="F9" s="2" t="inlineStr">
        <is>
          <t>Anillos</t>
        </is>
      </c>
      <c r="G9" s="2" t="n">
        <v>5</v>
      </c>
      <c r="H9" s="2">
        <f>Configuracion!$B$2</f>
        <v/>
      </c>
      <c r="I9" s="4">
        <f>Configuracion!$B$3</f>
        <v/>
      </c>
      <c r="J9" s="2">
        <f>IF(UPPER(Configuracion!$B$2)="ON",Configuracion!$B$4,"")</f>
        <v/>
      </c>
      <c r="K9" s="3">
        <f>IF(UPPER(Configuracion!$B$2)="ON",ROUND(C9*(1-Configuracion!$B$3),0),ROUND(C9,0))</f>
        <v/>
      </c>
    </row>
    <row r="10">
      <c r="A10" s="2" t="n">
        <v>9</v>
      </c>
      <c r="B10" s="2" t="inlineStr">
        <is>
          <t>Anillo ajustable con perla - Modelo 9</t>
        </is>
      </c>
      <c r="C10" s="3" t="n">
        <v>55</v>
      </c>
      <c r="D10" s="2" t="inlineStr">
        <is>
          <t>9.jpg</t>
        </is>
      </c>
      <c r="E10" s="2" t="inlineStr">
        <is>
          <t>Anillo ajustable con perla natural y acabado dorado.</t>
        </is>
      </c>
      <c r="F10" s="2" t="inlineStr">
        <is>
          <t>Anillos</t>
        </is>
      </c>
      <c r="G10" s="2" t="n">
        <v>5</v>
      </c>
      <c r="H10" s="2">
        <f>Configuracion!$B$2</f>
        <v/>
      </c>
      <c r="I10" s="4">
        <f>Configuracion!$B$3</f>
        <v/>
      </c>
      <c r="J10" s="2">
        <f>IF(UPPER(Configuracion!$B$2)="ON",Configuracion!$B$4,"")</f>
        <v/>
      </c>
      <c r="K10" s="3">
        <f>IF(UPPER(Configuracion!$B$2)="ON",ROUND(C10*(1-Configuracion!$B$3),0),ROUND(C10,0))</f>
        <v/>
      </c>
    </row>
    <row r="11">
      <c r="A11" s="2" t="n">
        <v>10</v>
      </c>
      <c r="B11" s="2" t="inlineStr">
        <is>
          <t>Anillo ajustable con perla - Modelo 10</t>
        </is>
      </c>
      <c r="C11" s="3" t="n">
        <v>50</v>
      </c>
      <c r="D11" s="2" t="inlineStr">
        <is>
          <t>10.jpg</t>
        </is>
      </c>
      <c r="E11" s="2" t="inlineStr">
        <is>
          <t>Anillo ajustable con perla natural y acabado dorado.</t>
        </is>
      </c>
      <c r="F11" s="2" t="inlineStr">
        <is>
          <t>Anillos</t>
        </is>
      </c>
      <c r="G11" s="2" t="n">
        <v>5</v>
      </c>
      <c r="H11" s="2">
        <f>Configuracion!$B$2</f>
        <v/>
      </c>
      <c r="I11" s="4">
        <f>Configuracion!$B$3</f>
        <v/>
      </c>
      <c r="J11" s="2">
        <f>IF(UPPER(Configuracion!$B$2)="ON",Configuracion!$B$4,"")</f>
        <v/>
      </c>
      <c r="K11" s="3">
        <f>IF(UPPER(Configuracion!$B$2)="ON",ROUND(C11*(1-Configuracion!$B$3),0),ROUND(C11,0))</f>
        <v/>
      </c>
    </row>
    <row r="12">
      <c r="A12" s="2" t="n">
        <v>11</v>
      </c>
      <c r="B12" s="2" t="inlineStr">
        <is>
          <t>Anillo ajustable con perla - Modelo 11</t>
        </is>
      </c>
      <c r="C12" s="3" t="n">
        <v>50</v>
      </c>
      <c r="D12" s="2" t="inlineStr">
        <is>
          <t>11.jpg</t>
        </is>
      </c>
      <c r="E12" s="2" t="inlineStr">
        <is>
          <t>Anillo ajustable con perla natural y acabado dorado.</t>
        </is>
      </c>
      <c r="F12" s="2" t="inlineStr">
        <is>
          <t>Anillos</t>
        </is>
      </c>
      <c r="G12" s="2" t="n">
        <v>5</v>
      </c>
      <c r="H12" s="2">
        <f>Configuracion!$B$2</f>
        <v/>
      </c>
      <c r="I12" s="4">
        <f>Configuracion!$B$3</f>
        <v/>
      </c>
      <c r="J12" s="2">
        <f>IF(UPPER(Configuracion!$B$2)="ON",Configuracion!$B$4,"")</f>
        <v/>
      </c>
      <c r="K12" s="3">
        <f>IF(UPPER(Configuracion!$B$2)="ON",ROUND(C12*(1-Configuracion!$B$3),0),ROUND(C12,0))</f>
        <v/>
      </c>
    </row>
    <row r="13">
      <c r="A13" s="2" t="n">
        <v>12</v>
      </c>
      <c r="B13" s="2" t="inlineStr">
        <is>
          <t>Anillo ajustable con perla - Modelo 12</t>
        </is>
      </c>
      <c r="C13" s="3" t="n">
        <v>50</v>
      </c>
      <c r="D13" s="2" t="inlineStr">
        <is>
          <t>12.jpg</t>
        </is>
      </c>
      <c r="E13" s="2" t="inlineStr">
        <is>
          <t>Anillo ajustable con perla natural y acabado dorado.</t>
        </is>
      </c>
      <c r="F13" s="2" t="inlineStr">
        <is>
          <t>Anillos</t>
        </is>
      </c>
      <c r="G13" s="2" t="n">
        <v>5</v>
      </c>
      <c r="H13" s="2">
        <f>Configuracion!$B$2</f>
        <v/>
      </c>
      <c r="I13" s="4">
        <f>Configuracion!$B$3</f>
        <v/>
      </c>
      <c r="J13" s="2">
        <f>IF(UPPER(Configuracion!$B$2)="ON",Configuracion!$B$4,"")</f>
        <v/>
      </c>
      <c r="K13" s="3">
        <f>IF(UPPER(Configuracion!$B$2)="ON",ROUND(C13*(1-Configuracion!$B$3),0),ROUND(C13,0))</f>
        <v/>
      </c>
    </row>
    <row r="14">
      <c r="A14" s="2" t="n">
        <v>13</v>
      </c>
      <c r="B14" s="2" t="inlineStr">
        <is>
          <t>Anillo de corazon simple - Modelo 1</t>
        </is>
      </c>
      <c r="C14" s="3" t="n">
        <v>30</v>
      </c>
      <c r="D14" s="2" t="inlineStr">
        <is>
          <t>13.jpg</t>
        </is>
      </c>
      <c r="E14" s="2" t="inlineStr">
        <is>
          <t>Anillo abierto con mariposa esmaltada y detalle nacarado.</t>
        </is>
      </c>
      <c r="F14" s="2" t="inlineStr">
        <is>
          <t>Anillos</t>
        </is>
      </c>
      <c r="G14" s="2" t="n">
        <v>5</v>
      </c>
      <c r="H14" s="2">
        <f>Configuracion!$B$2</f>
        <v/>
      </c>
      <c r="I14" s="4">
        <f>Configuracion!$B$3</f>
        <v/>
      </c>
      <c r="J14" s="2">
        <f>IF(UPPER(Configuracion!$B$2)="ON",Configuracion!$B$4,"")</f>
        <v/>
      </c>
      <c r="K14" s="3">
        <f>IF(UPPER(Configuracion!$B$2)="ON",ROUND(C14*(1-Configuracion!$B$3),0),ROUND(C14,0))</f>
        <v/>
      </c>
    </row>
    <row r="15">
      <c r="A15" s="2" t="n">
        <v>14</v>
      </c>
      <c r="B15" s="2" t="inlineStr">
        <is>
          <t>Anillo de rosa con perlas - Modelo 2</t>
        </is>
      </c>
      <c r="C15" s="3" t="n">
        <v>30</v>
      </c>
      <c r="D15" s="2" t="inlineStr">
        <is>
          <t>14.jpg</t>
        </is>
      </c>
      <c r="E15" s="2" t="inlineStr">
        <is>
          <t>Anillo abierto con mariposa esmaltada y detalle nacarado.</t>
        </is>
      </c>
      <c r="F15" s="2" t="inlineStr">
        <is>
          <t>Anillos</t>
        </is>
      </c>
      <c r="G15" s="2" t="n">
        <v>5</v>
      </c>
      <c r="H15" s="2">
        <f>Configuracion!$B$2</f>
        <v/>
      </c>
      <c r="I15" s="4">
        <f>Configuracion!$B$3</f>
        <v/>
      </c>
      <c r="J15" s="2">
        <f>IF(UPPER(Configuracion!$B$2)="ON",Configuracion!$B$4,"")</f>
        <v/>
      </c>
      <c r="K15" s="3">
        <f>IF(UPPER(Configuracion!$B$2)="ON",ROUND(C15*(1-Configuracion!$B$3),0),ROUND(C15,0))</f>
        <v/>
      </c>
    </row>
    <row r="16">
      <c r="A16" s="2" t="n">
        <v>15</v>
      </c>
      <c r="B16" s="2" t="inlineStr">
        <is>
          <t>Anillo blanco nacarado - Modelo 3</t>
        </is>
      </c>
      <c r="C16" s="3" t="n">
        <v>30</v>
      </c>
      <c r="D16" s="2" t="inlineStr">
        <is>
          <t>15.jpg</t>
        </is>
      </c>
      <c r="E16" s="2" t="inlineStr">
        <is>
          <t>Anillo abierto con mariposa esmaltada y detalle nacarado.</t>
        </is>
      </c>
      <c r="F16" s="2" t="inlineStr">
        <is>
          <t>Anillos</t>
        </is>
      </c>
      <c r="G16" s="2" t="n">
        <v>5</v>
      </c>
      <c r="H16" s="2">
        <f>Configuracion!$B$2</f>
        <v/>
      </c>
      <c r="I16" s="4">
        <f>Configuracion!$B$3</f>
        <v/>
      </c>
      <c r="J16" s="2">
        <f>IF(UPPER(Configuracion!$B$2)="ON",Configuracion!$B$4,"")</f>
        <v/>
      </c>
      <c r="K16" s="3">
        <f>IF(UPPER(Configuracion!$B$2)="ON",ROUND(C16*(1-Configuracion!$B$3),0),ROUND(C16,0))</f>
        <v/>
      </c>
    </row>
    <row r="17">
      <c r="A17" s="2" t="n">
        <v>16</v>
      </c>
      <c r="B17" s="2" t="inlineStr">
        <is>
          <t>Anillo de mariposa nacarada - Modelo 4</t>
        </is>
      </c>
      <c r="C17" s="3" t="n">
        <v>35</v>
      </c>
      <c r="D17" s="2" t="inlineStr">
        <is>
          <t>16.jpg</t>
        </is>
      </c>
      <c r="E17" s="2" t="inlineStr">
        <is>
          <t>Anillo abierto con mariposa esmaltada y detalle nacarado.</t>
        </is>
      </c>
      <c r="F17" s="2" t="inlineStr">
        <is>
          <t>Anillos</t>
        </is>
      </c>
      <c r="G17" s="2" t="n">
        <v>5</v>
      </c>
      <c r="H17" s="2">
        <f>Configuracion!$B$2</f>
        <v/>
      </c>
      <c r="I17" s="4">
        <f>Configuracion!$B$3</f>
        <v/>
      </c>
      <c r="J17" s="2">
        <f>IF(UPPER(Configuracion!$B$2)="ON",Configuracion!$B$4,"")</f>
        <v/>
      </c>
      <c r="K17" s="3">
        <f>IF(UPPER(Configuracion!$B$2)="ON",ROUND(C17*(1-Configuracion!$B$3),0),ROUND(C17,0))</f>
        <v/>
      </c>
    </row>
    <row r="18">
      <c r="A18" s="2" t="n">
        <v>17</v>
      </c>
      <c r="B18" s="2" t="inlineStr">
        <is>
          <t>Anillo de hada simple - Modelo 5</t>
        </is>
      </c>
      <c r="C18" s="3" t="n">
        <v>35</v>
      </c>
      <c r="D18" s="2" t="inlineStr">
        <is>
          <t>17.jpg</t>
        </is>
      </c>
      <c r="E18" s="2" t="inlineStr">
        <is>
          <t>Anillo abierto con mariposa esmaltada y detalle nacarado.</t>
        </is>
      </c>
      <c r="F18" s="2" t="inlineStr">
        <is>
          <t>Anillos</t>
        </is>
      </c>
      <c r="G18" s="2" t="n">
        <v>5</v>
      </c>
      <c r="H18" s="2">
        <f>Configuracion!$B$2</f>
        <v/>
      </c>
      <c r="I18" s="4">
        <f>Configuracion!$B$3</f>
        <v/>
      </c>
      <c r="J18" s="2">
        <f>IF(UPPER(Configuracion!$B$2)="ON",Configuracion!$B$4,"")</f>
        <v/>
      </c>
      <c r="K18" s="3">
        <f>IF(UPPER(Configuracion!$B$2)="ON",ROUND(C18*(1-Configuracion!$B$3),0),ROUND(C18,0))</f>
        <v/>
      </c>
    </row>
    <row r="19">
      <c r="A19" s="2" t="n">
        <v>18</v>
      </c>
      <c r="B19" s="2" t="inlineStr">
        <is>
          <t>Anillo de morado nacarado - Modelo 6</t>
        </is>
      </c>
      <c r="C19" s="3" t="n">
        <v>30</v>
      </c>
      <c r="D19" s="2" t="inlineStr">
        <is>
          <t>18.jpg</t>
        </is>
      </c>
      <c r="E19" s="2" t="inlineStr">
        <is>
          <t>Anillo abierto con mariposa esmaltada y detalle nacarado.</t>
        </is>
      </c>
      <c r="F19" s="2" t="inlineStr">
        <is>
          <t>Anillos</t>
        </is>
      </c>
      <c r="G19" s="2" t="n">
        <v>5</v>
      </c>
      <c r="H19" s="2">
        <f>Configuracion!$B$2</f>
        <v/>
      </c>
      <c r="I19" s="4">
        <f>Configuracion!$B$3</f>
        <v/>
      </c>
      <c r="J19" s="2">
        <f>IF(UPPER(Configuracion!$B$2)="ON",Configuracion!$B$4,"")</f>
        <v/>
      </c>
      <c r="K19" s="3">
        <f>IF(UPPER(Configuracion!$B$2)="ON",ROUND(C19*(1-Configuracion!$B$3),0),ROUND(C19,0))</f>
        <v/>
      </c>
    </row>
    <row r="20">
      <c r="A20" s="2" t="n">
        <v>19</v>
      </c>
      <c r="B20" s="2" t="inlineStr">
        <is>
          <t>Anillo de rosa vintage - Modelo 7</t>
        </is>
      </c>
      <c r="C20" s="3" t="n">
        <v>35</v>
      </c>
      <c r="D20" s="2" t="inlineStr">
        <is>
          <t>19.jpg</t>
        </is>
      </c>
      <c r="E20" s="2" t="inlineStr">
        <is>
          <t>Anillo abierto con mariposa esmaltada y detalle nacarado.</t>
        </is>
      </c>
      <c r="F20" s="2" t="inlineStr">
        <is>
          <t>Anillos</t>
        </is>
      </c>
      <c r="G20" s="2" t="n">
        <v>5</v>
      </c>
      <c r="H20" s="2">
        <f>Configuracion!$B$2</f>
        <v/>
      </c>
      <c r="I20" s="4">
        <f>Configuracion!$B$3</f>
        <v/>
      </c>
      <c r="J20" s="2">
        <f>IF(UPPER(Configuracion!$B$2)="ON",Configuracion!$B$4,"")</f>
        <v/>
      </c>
      <c r="K20" s="3">
        <f>IF(UPPER(Configuracion!$B$2)="ON",ROUND(C20*(1-Configuracion!$B$3),0),ROUND(C20,0))</f>
        <v/>
      </c>
    </row>
    <row r="21">
      <c r="A21" s="2" t="n">
        <v>20</v>
      </c>
      <c r="B21" s="2" t="inlineStr">
        <is>
          <t>Anillo de corazón rosado - Modelo 8</t>
        </is>
      </c>
      <c r="C21" s="3" t="n">
        <v>30</v>
      </c>
      <c r="D21" s="2" t="inlineStr">
        <is>
          <t>20.jpg</t>
        </is>
      </c>
      <c r="E21" s="2" t="inlineStr">
        <is>
          <t>Anillo abierto con mariposa esmaltada y detalle nacarado.</t>
        </is>
      </c>
      <c r="F21" s="2" t="inlineStr">
        <is>
          <t>Anillos</t>
        </is>
      </c>
      <c r="G21" s="2" t="n">
        <v>3</v>
      </c>
      <c r="H21" s="2">
        <f>Configuracion!$B$2</f>
        <v/>
      </c>
      <c r="I21" s="4">
        <f>Configuracion!$B$3</f>
        <v/>
      </c>
      <c r="J21" s="2">
        <f>IF(UPPER(Configuracion!$B$2)="ON",Configuracion!$B$4,"")</f>
        <v/>
      </c>
      <c r="K21" s="3">
        <f>IF(UPPER(Configuracion!$B$2)="ON",ROUND(C21*(1-Configuracion!$B$3),0),ROUND(C21,0))</f>
        <v/>
      </c>
    </row>
    <row r="22">
      <c r="A22" s="2" t="n">
        <v>21</v>
      </c>
      <c r="B22" s="2" t="inlineStr">
        <is>
          <t>Anillo de mariposa nacarada - Modelo 9</t>
        </is>
      </c>
      <c r="C22" s="3" t="n">
        <v>30</v>
      </c>
      <c r="D22" s="2" t="inlineStr">
        <is>
          <t>21.jpg</t>
        </is>
      </c>
      <c r="E22" s="2" t="inlineStr">
        <is>
          <t>Anillo abierto con mariposa esmaltada y detalle nacarado.</t>
        </is>
      </c>
      <c r="F22" s="2" t="inlineStr">
        <is>
          <t>Anillos</t>
        </is>
      </c>
      <c r="G22" s="2" t="n">
        <v>5</v>
      </c>
      <c r="H22" s="2">
        <f>Configuracion!$B$2</f>
        <v/>
      </c>
      <c r="I22" s="4">
        <f>Configuracion!$B$3</f>
        <v/>
      </c>
      <c r="J22" s="2">
        <f>IF(UPPER(Configuracion!$B$2)="ON",Configuracion!$B$4,"")</f>
        <v/>
      </c>
      <c r="K22" s="3">
        <f>IF(UPPER(Configuracion!$B$2)="ON",ROUND(C22*(1-Configuracion!$B$3),0),ROUND(C22,0))</f>
        <v/>
      </c>
    </row>
    <row r="23">
      <c r="A23" s="2" t="n">
        <v>22</v>
      </c>
      <c r="B23" s="2" t="inlineStr">
        <is>
          <t>Anillo de hada - Modelo 10</t>
        </is>
      </c>
      <c r="C23" s="3" t="n">
        <v>30</v>
      </c>
      <c r="D23" s="2" t="inlineStr">
        <is>
          <t>22.jpg</t>
        </is>
      </c>
      <c r="E23" s="2" t="inlineStr">
        <is>
          <t>Anillo abierto con mariposa esmaltada y detalle nacarado.</t>
        </is>
      </c>
      <c r="F23" s="2" t="inlineStr">
        <is>
          <t>Anillos</t>
        </is>
      </c>
      <c r="G23" s="2" t="n">
        <v>5</v>
      </c>
      <c r="H23" s="2">
        <f>Configuracion!$B$2</f>
        <v/>
      </c>
      <c r="I23" s="4">
        <f>Configuracion!$B$3</f>
        <v/>
      </c>
      <c r="J23" s="2">
        <f>IF(UPPER(Configuracion!$B$2)="ON",Configuracion!$B$4,"")</f>
        <v/>
      </c>
      <c r="K23" s="3">
        <f>IF(UPPER(Configuracion!$B$2)="ON",ROUND(C23*(1-Configuracion!$B$3),0),ROUND(C23,0))</f>
        <v/>
      </c>
    </row>
    <row r="24">
      <c r="A24" s="2" t="n">
        <v>23</v>
      </c>
      <c r="B24" s="2" t="inlineStr">
        <is>
          <t>Anillo de mariposa nacarada - Modelo 11</t>
        </is>
      </c>
      <c r="C24" s="3" t="n">
        <v>35</v>
      </c>
      <c r="D24" s="2" t="inlineStr">
        <is>
          <t>23.jpg</t>
        </is>
      </c>
      <c r="E24" s="2" t="inlineStr">
        <is>
          <t>Anillo abierto con mariposa esmaltada y detalle nacarado.</t>
        </is>
      </c>
      <c r="F24" s="2" t="inlineStr">
        <is>
          <t>Anillos</t>
        </is>
      </c>
      <c r="G24" s="2" t="n">
        <v>5</v>
      </c>
      <c r="H24" s="2">
        <f>Configuracion!$B$2</f>
        <v/>
      </c>
      <c r="I24" s="4">
        <f>Configuracion!$B$3</f>
        <v/>
      </c>
      <c r="J24" s="2">
        <f>IF(UPPER(Configuracion!$B$2)="ON",Configuracion!$B$4,"")</f>
        <v/>
      </c>
      <c r="K24" s="3">
        <f>IF(UPPER(Configuracion!$B$2)="ON",ROUND(C24*(1-Configuracion!$B$3),0),ROUND(C24,0))</f>
        <v/>
      </c>
    </row>
    <row r="25">
      <c r="A25" s="2" t="n">
        <v>24</v>
      </c>
      <c r="B25" s="2" t="inlineStr">
        <is>
          <t>Anillo de corazon de cristal - Modelo 12</t>
        </is>
      </c>
      <c r="C25" s="3" t="n">
        <v>30</v>
      </c>
      <c r="D25" s="2" t="inlineStr">
        <is>
          <t>24.jpg</t>
        </is>
      </c>
      <c r="E25" s="2" t="inlineStr">
        <is>
          <t>Anillo abierto con mariposa esmaltada y detalle nacarado.</t>
        </is>
      </c>
      <c r="F25" s="2" t="inlineStr">
        <is>
          <t>Anillos</t>
        </is>
      </c>
      <c r="G25" s="2" t="n">
        <v>5</v>
      </c>
      <c r="H25" s="2">
        <f>Configuracion!$B$2</f>
        <v/>
      </c>
      <c r="I25" s="4">
        <f>Configuracion!$B$3</f>
        <v/>
      </c>
      <c r="J25" s="2">
        <f>IF(UPPER(Configuracion!$B$2)="ON",Configuracion!$B$4,"")</f>
        <v/>
      </c>
      <c r="K25" s="3">
        <f>IF(UPPER(Configuracion!$B$2)="ON",ROUND(C25*(1-Configuracion!$B$3),0),ROUND(C25,0))</f>
        <v/>
      </c>
    </row>
    <row r="26">
      <c r="A26" s="2" t="n">
        <v>25</v>
      </c>
      <c r="B26" s="2" t="inlineStr">
        <is>
          <t>Anillo de corazón nacarado - Modelo 13</t>
        </is>
      </c>
      <c r="C26" s="3" t="n">
        <v>30</v>
      </c>
      <c r="D26" s="2" t="inlineStr">
        <is>
          <t>25.jpg</t>
        </is>
      </c>
      <c r="E26" s="2" t="inlineStr">
        <is>
          <t>Anillo abierto con mariposa esmaltada y detalle nacarado.</t>
        </is>
      </c>
      <c r="F26" s="2" t="inlineStr">
        <is>
          <t>Anillos</t>
        </is>
      </c>
      <c r="G26" s="2" t="n">
        <v>5</v>
      </c>
      <c r="H26" s="2">
        <f>Configuracion!$B$2</f>
        <v/>
      </c>
      <c r="I26" s="4">
        <f>Configuracion!$B$3</f>
        <v/>
      </c>
      <c r="J26" s="2">
        <f>IF(UPPER(Configuracion!$B$2)="ON",Configuracion!$B$4,"")</f>
        <v/>
      </c>
      <c r="K26" s="3">
        <f>IF(UPPER(Configuracion!$B$2)="ON",ROUND(C26*(1-Configuracion!$B$3),0),ROUND(C26,0))</f>
        <v/>
      </c>
    </row>
    <row r="27">
      <c r="A27" s="2" t="n">
        <v>26</v>
      </c>
      <c r="B27" s="2" t="inlineStr">
        <is>
          <t>Anillo de concha y perla - Modelo 14</t>
        </is>
      </c>
      <c r="C27" s="3" t="n">
        <v>30</v>
      </c>
      <c r="D27" s="2" t="inlineStr">
        <is>
          <t>26.jpg</t>
        </is>
      </c>
      <c r="E27" s="2" t="inlineStr">
        <is>
          <t>Anillo abierto con mariposa esmaltada y detalle nacarado.</t>
        </is>
      </c>
      <c r="F27" s="2" t="inlineStr">
        <is>
          <t>Anillos</t>
        </is>
      </c>
      <c r="G27" s="2" t="n">
        <v>5</v>
      </c>
      <c r="H27" s="2">
        <f>Configuracion!$B$2</f>
        <v/>
      </c>
      <c r="I27" s="4">
        <f>Configuracion!$B$3</f>
        <v/>
      </c>
      <c r="J27" s="2">
        <f>IF(UPPER(Configuracion!$B$2)="ON",Configuracion!$B$4,"")</f>
        <v/>
      </c>
      <c r="K27" s="3">
        <f>IF(UPPER(Configuracion!$B$2)="ON",ROUND(C27*(1-Configuracion!$B$3),0),ROUND(C27,0))</f>
        <v/>
      </c>
    </row>
    <row r="28">
      <c r="A28" s="2" t="n">
        <v>27</v>
      </c>
      <c r="B28" s="2" t="inlineStr">
        <is>
          <t>Anillo de mariposa nacarada - Modelo 15</t>
        </is>
      </c>
      <c r="C28" s="3" t="n">
        <v>35</v>
      </c>
      <c r="D28" s="2" t="inlineStr">
        <is>
          <t>27.jpg</t>
        </is>
      </c>
      <c r="E28" s="2" t="inlineStr">
        <is>
          <t>Anillo abierto con mariposa esmaltada y detalle nacarado.</t>
        </is>
      </c>
      <c r="F28" s="2" t="inlineStr">
        <is>
          <t>Anillos</t>
        </is>
      </c>
      <c r="G28" s="2" t="n">
        <v>5</v>
      </c>
      <c r="H28" s="2">
        <f>Configuracion!$B$2</f>
        <v/>
      </c>
      <c r="I28" s="4">
        <f>Configuracion!$B$3</f>
        <v/>
      </c>
      <c r="J28" s="2">
        <f>IF(UPPER(Configuracion!$B$2)="ON",Configuracion!$B$4,"")</f>
        <v/>
      </c>
      <c r="K28" s="3">
        <f>IF(UPPER(Configuracion!$B$2)="ON",ROUND(C28*(1-Configuracion!$B$3),0),ROUND(C28,0))</f>
        <v/>
      </c>
    </row>
    <row r="29">
      <c r="A29" s="2" t="n">
        <v>28</v>
      </c>
      <c r="B29" s="2" t="inlineStr">
        <is>
          <t>Anillo mini corazón - Modelo 16</t>
        </is>
      </c>
      <c r="C29" s="3" t="n">
        <v>35</v>
      </c>
      <c r="D29" s="2" t="inlineStr">
        <is>
          <t>28.jpg</t>
        </is>
      </c>
      <c r="E29" s="2" t="inlineStr">
        <is>
          <t>Anillo abierto con mariposa esmaltada y detalle nacarado.</t>
        </is>
      </c>
      <c r="F29" s="2" t="inlineStr">
        <is>
          <t>Anillos</t>
        </is>
      </c>
      <c r="G29" s="2" t="n">
        <v>5</v>
      </c>
      <c r="H29" s="2">
        <f>Configuracion!$B$2</f>
        <v/>
      </c>
      <c r="I29" s="4">
        <f>Configuracion!$B$3</f>
        <v/>
      </c>
      <c r="J29" s="2">
        <f>IF(UPPER(Configuracion!$B$2)="ON",Configuracion!$B$4,"")</f>
        <v/>
      </c>
      <c r="K29" s="3">
        <f>IF(UPPER(Configuracion!$B$2)="ON",ROUND(C29*(1-Configuracion!$B$3),0),ROUND(C29,0))</f>
        <v/>
      </c>
    </row>
    <row r="30">
      <c r="A30" s="2" t="n">
        <v>29</v>
      </c>
      <c r="B30" s="2" t="inlineStr">
        <is>
          <t>Anillo de mariposa nacarada - Modelo 17</t>
        </is>
      </c>
      <c r="C30" s="3" t="n">
        <v>30</v>
      </c>
      <c r="D30" s="2" t="inlineStr">
        <is>
          <t>29.jpg</t>
        </is>
      </c>
      <c r="E30" s="2" t="inlineStr">
        <is>
          <t>Anillo abierto con mariposa esmaltada y detalle nacarado.</t>
        </is>
      </c>
      <c r="F30" s="2" t="inlineStr">
        <is>
          <t>Anillos</t>
        </is>
      </c>
      <c r="G30" s="2" t="n">
        <v>5</v>
      </c>
      <c r="H30" s="2">
        <f>Configuracion!$B$2</f>
        <v/>
      </c>
      <c r="I30" s="4">
        <f>Configuracion!$B$3</f>
        <v/>
      </c>
      <c r="J30" s="2">
        <f>IF(UPPER(Configuracion!$B$2)="ON",Configuracion!$B$4,"")</f>
        <v/>
      </c>
      <c r="K30" s="3">
        <f>IF(UPPER(Configuracion!$B$2)="ON",ROUND(C30*(1-Configuracion!$B$3),0),ROUND(C30,0))</f>
        <v/>
      </c>
    </row>
    <row r="31">
      <c r="A31" s="2" t="n">
        <v>30</v>
      </c>
      <c r="B31" s="2" t="inlineStr">
        <is>
          <t>Anillo de mariposa nacarada - Modelo 18</t>
        </is>
      </c>
      <c r="C31" s="3" t="n">
        <v>35</v>
      </c>
      <c r="D31" s="2" t="inlineStr">
        <is>
          <t>30.jpg</t>
        </is>
      </c>
      <c r="E31" s="2" t="inlineStr">
        <is>
          <t>Anillo abierto con mariposa esmaltada y detalle nacarado.</t>
        </is>
      </c>
      <c r="F31" s="2" t="inlineStr">
        <is>
          <t>Anillos</t>
        </is>
      </c>
      <c r="G31" s="2" t="n">
        <v>5</v>
      </c>
      <c r="H31" s="2">
        <f>Configuracion!$B$2</f>
        <v/>
      </c>
      <c r="I31" s="4">
        <f>Configuracion!$B$3</f>
        <v/>
      </c>
      <c r="J31" s="2">
        <f>IF(UPPER(Configuracion!$B$2)="ON",Configuracion!$B$4,"")</f>
        <v/>
      </c>
      <c r="K31" s="3">
        <f>IF(UPPER(Configuracion!$B$2)="ON",ROUND(C31*(1-Configuracion!$B$3),0),ROUND(C31,0))</f>
        <v/>
      </c>
    </row>
    <row r="32">
      <c r="A32" s="2" t="n">
        <v>31</v>
      </c>
      <c r="B32" s="2" t="inlineStr">
        <is>
          <t>Anillo de mariposa nacarada - Modelo 19</t>
        </is>
      </c>
      <c r="C32" s="3" t="n">
        <v>30</v>
      </c>
      <c r="D32" s="2" t="inlineStr">
        <is>
          <t>31.jpg</t>
        </is>
      </c>
      <c r="E32" s="2" t="inlineStr">
        <is>
          <t>Anillo abierto con mariposa esmaltada y detalle nacarado.</t>
        </is>
      </c>
      <c r="F32" s="2" t="inlineStr">
        <is>
          <t>Anillos</t>
        </is>
      </c>
      <c r="G32" s="2" t="n">
        <v>5</v>
      </c>
      <c r="H32" s="2">
        <f>Configuracion!$B$2</f>
        <v/>
      </c>
      <c r="I32" s="4">
        <f>Configuracion!$B$3</f>
        <v/>
      </c>
      <c r="J32" s="2">
        <f>IF(UPPER(Configuracion!$B$2)="ON",Configuracion!$B$4,"")</f>
        <v/>
      </c>
      <c r="K32" s="3">
        <f>IF(UPPER(Configuracion!$B$2)="ON",ROUND(C32*(1-Configuracion!$B$3),0),ROUND(C32,0))</f>
        <v/>
      </c>
    </row>
    <row r="33">
      <c r="A33" s="2" t="n">
        <v>32</v>
      </c>
      <c r="B33" s="2" t="inlineStr">
        <is>
          <t>Anillo de corazon dorado - Modelo 20</t>
        </is>
      </c>
      <c r="C33" s="3" t="n">
        <v>30</v>
      </c>
      <c r="D33" s="2" t="inlineStr">
        <is>
          <t>32.jpg</t>
        </is>
      </c>
      <c r="E33" s="2" t="inlineStr">
        <is>
          <t>Anillo abierto con mariposa esmaltada y detalle nacarado.</t>
        </is>
      </c>
      <c r="F33" s="2" t="inlineStr">
        <is>
          <t>Anillos</t>
        </is>
      </c>
      <c r="G33" s="2" t="n">
        <v>5</v>
      </c>
      <c r="H33" s="2">
        <f>Configuracion!$B$2</f>
        <v/>
      </c>
      <c r="I33" s="4">
        <f>Configuracion!$B$3</f>
        <v/>
      </c>
      <c r="J33" s="2">
        <f>IF(UPPER(Configuracion!$B$2)="ON",Configuracion!$B$4,"")</f>
        <v/>
      </c>
      <c r="K33" s="3">
        <f>IF(UPPER(Configuracion!$B$2)="ON",ROUND(C33*(1-Configuracion!$B$3),0),ROUND(C33,0))</f>
        <v/>
      </c>
    </row>
    <row r="34">
      <c r="A34" s="2" t="n">
        <v>33</v>
      </c>
      <c r="B34" s="2" t="inlineStr">
        <is>
          <t>Anillo de corazon de cristal - Modelo 21</t>
        </is>
      </c>
      <c r="C34" s="3" t="n">
        <v>30</v>
      </c>
      <c r="D34" s="2" t="inlineStr">
        <is>
          <t>33.jpg</t>
        </is>
      </c>
      <c r="E34" s="2" t="inlineStr">
        <is>
          <t>Anillo abierto con mariposa esmaltada y detalle nacarado.</t>
        </is>
      </c>
      <c r="F34" s="2" t="inlineStr">
        <is>
          <t>Anillos</t>
        </is>
      </c>
      <c r="G34" s="2" t="n">
        <v>5</v>
      </c>
      <c r="H34" s="2">
        <f>Configuracion!$B$2</f>
        <v/>
      </c>
      <c r="I34" s="4">
        <f>Configuracion!$B$3</f>
        <v/>
      </c>
      <c r="J34" s="2">
        <f>IF(UPPER(Configuracion!$B$2)="ON",Configuracion!$B$4,"")</f>
        <v/>
      </c>
      <c r="K34" s="3">
        <f>IF(UPPER(Configuracion!$B$2)="ON",ROUND(C34*(1-Configuracion!$B$3),0),ROUND(C34,0))</f>
        <v/>
      </c>
    </row>
    <row r="35">
      <c r="A35" s="2" t="n">
        <v>34</v>
      </c>
      <c r="B35" s="2" t="inlineStr">
        <is>
          <t>Anillo de sol cristalino - Modelo 22</t>
        </is>
      </c>
      <c r="C35" s="3" t="n">
        <v>35</v>
      </c>
      <c r="D35" s="2" t="inlineStr">
        <is>
          <t>34.jpg</t>
        </is>
      </c>
      <c r="E35" s="2" t="inlineStr">
        <is>
          <t>Anillo abierto con mariposa esmaltada y detalle nacarado.</t>
        </is>
      </c>
      <c r="F35" s="2" t="inlineStr">
        <is>
          <t>Anillos</t>
        </is>
      </c>
      <c r="G35" s="2" t="n">
        <v>5</v>
      </c>
      <c r="H35" s="2">
        <f>Configuracion!$B$2</f>
        <v/>
      </c>
      <c r="I35" s="4">
        <f>Configuracion!$B$3</f>
        <v/>
      </c>
      <c r="J35" s="2">
        <f>IF(UPPER(Configuracion!$B$2)="ON",Configuracion!$B$4,"")</f>
        <v/>
      </c>
      <c r="K35" s="3">
        <f>IF(UPPER(Configuracion!$B$2)="ON",ROUND(C35*(1-Configuracion!$B$3),0),ROUND(C35,0))</f>
        <v/>
      </c>
    </row>
    <row r="36">
      <c r="A36" s="2" t="n">
        <v>35</v>
      </c>
      <c r="B36" s="2" t="inlineStr">
        <is>
          <t>Anillo de hada - Modelo 23</t>
        </is>
      </c>
      <c r="C36" s="3" t="n">
        <v>35</v>
      </c>
      <c r="D36" s="2" t="inlineStr">
        <is>
          <t>35.jpg</t>
        </is>
      </c>
      <c r="E36" s="2" t="inlineStr">
        <is>
          <t>Anillo abierto con mariposa esmaltada y detalle nacarado.</t>
        </is>
      </c>
      <c r="F36" s="2" t="inlineStr">
        <is>
          <t>Anillos</t>
        </is>
      </c>
      <c r="G36" s="2" t="n">
        <v>5</v>
      </c>
      <c r="H36" s="2">
        <f>Configuracion!$B$2</f>
        <v/>
      </c>
      <c r="I36" s="4">
        <f>Configuracion!$B$3</f>
        <v/>
      </c>
      <c r="J36" s="2">
        <f>IF(UPPER(Configuracion!$B$2)="ON",Configuracion!$B$4,"")</f>
        <v/>
      </c>
      <c r="K36" s="3">
        <f>IF(UPPER(Configuracion!$B$2)="ON",ROUND(C36*(1-Configuracion!$B$3),0),ROUND(C36,0))</f>
        <v/>
      </c>
    </row>
    <row r="37">
      <c r="A37" s="2" t="n">
        <v>36</v>
      </c>
      <c r="B37" s="2" t="inlineStr">
        <is>
          <t>Anillo rosas vintage - Modelo 24</t>
        </is>
      </c>
      <c r="C37" s="3" t="n">
        <v>35</v>
      </c>
      <c r="D37" s="2" t="inlineStr">
        <is>
          <t>36.jpg</t>
        </is>
      </c>
      <c r="E37" s="2" t="inlineStr">
        <is>
          <t>Anillo abierto con mariposa esmaltada y detalle nacarado.</t>
        </is>
      </c>
      <c r="F37" s="2" t="inlineStr">
        <is>
          <t>Anillos</t>
        </is>
      </c>
      <c r="G37" s="2" t="n">
        <v>5</v>
      </c>
      <c r="H37" s="2">
        <f>Configuracion!$B$2</f>
        <v/>
      </c>
      <c r="I37" s="4">
        <f>Configuracion!$B$3</f>
        <v/>
      </c>
      <c r="J37" s="2">
        <f>IF(UPPER(Configuracion!$B$2)="ON",Configuracion!$B$4,"")</f>
        <v/>
      </c>
      <c r="K37" s="3">
        <f>IF(UPPER(Configuracion!$B$2)="ON",ROUND(C37*(1-Configuracion!$B$3),0),ROUND(C37,0))</f>
        <v/>
      </c>
    </row>
    <row r="38">
      <c r="A38" s="2" t="n">
        <v>37</v>
      </c>
      <c r="B38" s="2" t="inlineStr">
        <is>
          <t>Pendientes de flores y cristales - Modelo 1</t>
        </is>
      </c>
      <c r="C38" s="3" t="n">
        <v>55</v>
      </c>
      <c r="D38" s="2" t="inlineStr">
        <is>
          <t>37.jpg</t>
        </is>
      </c>
      <c r="E38" s="2" t="inlineStr">
        <is>
          <t>Pendientes largos con perlas y cristales de brillo elegante.</t>
        </is>
      </c>
      <c r="F38" s="2" t="inlineStr">
        <is>
          <t>Aretes</t>
        </is>
      </c>
      <c r="G38" s="2" t="n">
        <v>2</v>
      </c>
      <c r="H38" s="2">
        <f>Configuracion!$B$2</f>
        <v/>
      </c>
      <c r="I38" s="4">
        <f>Configuracion!$B$3</f>
        <v/>
      </c>
      <c r="J38" s="2">
        <f>IF(UPPER(Configuracion!$B$2)="ON",Configuracion!$B$4,"")</f>
        <v/>
      </c>
      <c r="K38" s="3">
        <f>IF(UPPER(Configuracion!$B$2)="ON",ROUND(C38*(1-Configuracion!$B$3),0),ROUND(C38,0))</f>
        <v/>
      </c>
    </row>
    <row r="39">
      <c r="A39" s="2" t="n">
        <v>38</v>
      </c>
      <c r="B39" s="2" t="inlineStr">
        <is>
          <t>Pendientes de perlas y cristales - Modelo 2</t>
        </is>
      </c>
      <c r="C39" s="3" t="n">
        <v>60</v>
      </c>
      <c r="D39" s="2" t="inlineStr">
        <is>
          <t>38.jpg</t>
        </is>
      </c>
      <c r="E39" s="2" t="inlineStr">
        <is>
          <t>Pendientes largos con perlas y cristales de brillo elegante.</t>
        </is>
      </c>
      <c r="F39" s="2" t="inlineStr">
        <is>
          <t>Aretes</t>
        </is>
      </c>
      <c r="G39" s="2" t="n">
        <v>2</v>
      </c>
      <c r="H39" s="2">
        <f>Configuracion!$B$2</f>
        <v/>
      </c>
      <c r="I39" s="4">
        <f>Configuracion!$B$3</f>
        <v/>
      </c>
      <c r="J39" s="2">
        <f>IF(UPPER(Configuracion!$B$2)="ON",Configuracion!$B$4,"")</f>
        <v/>
      </c>
      <c r="K39" s="3">
        <f>IF(UPPER(Configuracion!$B$2)="ON",ROUND(C39*(1-Configuracion!$B$3),0),ROUND(C39,0))</f>
        <v/>
      </c>
    </row>
    <row r="40">
      <c r="A40" s="2" t="n">
        <v>39</v>
      </c>
      <c r="B40" s="2" t="inlineStr">
        <is>
          <t>Pendientes de perlas y cristales - Modelo 3</t>
        </is>
      </c>
      <c r="C40" s="3" t="n">
        <v>45</v>
      </c>
      <c r="D40" s="2" t="inlineStr">
        <is>
          <t>39.jpg</t>
        </is>
      </c>
      <c r="E40" s="2" t="inlineStr">
        <is>
          <t>Pendientes largos con perlas y cristales de brillo elegante.</t>
        </is>
      </c>
      <c r="F40" s="2" t="inlineStr">
        <is>
          <t>Aretes</t>
        </is>
      </c>
      <c r="G40" s="2" t="n">
        <v>2</v>
      </c>
      <c r="H40" s="2">
        <f>Configuracion!$B$2</f>
        <v/>
      </c>
      <c r="I40" s="4">
        <f>Configuracion!$B$3</f>
        <v/>
      </c>
      <c r="J40" s="2">
        <f>IF(UPPER(Configuracion!$B$2)="ON",Configuracion!$B$4,"")</f>
        <v/>
      </c>
      <c r="K40" s="3">
        <f>IF(UPPER(Configuracion!$B$2)="ON",ROUND(C40*(1-Configuracion!$B$3),0),ROUND(C40,0))</f>
        <v/>
      </c>
    </row>
    <row r="41">
      <c r="A41" s="2" t="n">
        <v>40</v>
      </c>
      <c r="B41" s="2" t="inlineStr">
        <is>
          <t>Pendientes de mariposas y cristales - Modelo 4</t>
        </is>
      </c>
      <c r="C41" s="3" t="n">
        <v>60</v>
      </c>
      <c r="D41" s="2" t="inlineStr">
        <is>
          <t>40.jpg</t>
        </is>
      </c>
      <c r="E41" s="2" t="inlineStr">
        <is>
          <t>Pendientes largos con perlas y cristales de brillo elegante.</t>
        </is>
      </c>
      <c r="F41" s="2" t="inlineStr">
        <is>
          <t>Aretes</t>
        </is>
      </c>
      <c r="G41" s="2" t="n">
        <v>2</v>
      </c>
      <c r="H41" s="2">
        <f>Configuracion!$B$2</f>
        <v/>
      </c>
      <c r="I41" s="4">
        <f>Configuracion!$B$3</f>
        <v/>
      </c>
      <c r="J41" s="2">
        <f>IF(UPPER(Configuracion!$B$2)="ON",Configuracion!$B$4,"")</f>
        <v/>
      </c>
      <c r="K41" s="3">
        <f>IF(UPPER(Configuracion!$B$2)="ON",ROUND(C41*(1-Configuracion!$B$3),0),ROUND(C41,0))</f>
        <v/>
      </c>
    </row>
    <row r="42">
      <c r="A42" s="2" t="n">
        <v>41</v>
      </c>
      <c r="B42" s="2" t="inlineStr">
        <is>
          <t>Pendientes de folres blancas - Modelo 5</t>
        </is>
      </c>
      <c r="C42" s="3" t="n">
        <v>35</v>
      </c>
      <c r="D42" s="2" t="inlineStr">
        <is>
          <t>41.jpg</t>
        </is>
      </c>
      <c r="E42" s="2" t="inlineStr">
        <is>
          <t>Pendientes largos con perlas y cristales de brillo elegante.</t>
        </is>
      </c>
      <c r="F42" s="2" t="inlineStr">
        <is>
          <t>Aretes</t>
        </is>
      </c>
      <c r="G42" s="2" t="n">
        <v>2</v>
      </c>
      <c r="H42" s="2">
        <f>Configuracion!$B$2</f>
        <v/>
      </c>
      <c r="I42" s="4">
        <f>Configuracion!$B$3</f>
        <v/>
      </c>
      <c r="J42" s="2">
        <f>IF(UPPER(Configuracion!$B$2)="ON",Configuracion!$B$4,"")</f>
        <v/>
      </c>
      <c r="K42" s="3">
        <f>IF(UPPER(Configuracion!$B$2)="ON",ROUND(C42*(1-Configuracion!$B$3),0),ROUND(C42,0))</f>
        <v/>
      </c>
    </row>
    <row r="43">
      <c r="A43" s="2" t="n">
        <v>42</v>
      </c>
      <c r="B43" s="2" t="inlineStr">
        <is>
          <t>Pendientes de flores  y cristales - Modelo 6</t>
        </is>
      </c>
      <c r="C43" s="3" t="n">
        <v>55</v>
      </c>
      <c r="D43" s="2" t="inlineStr">
        <is>
          <t>42.jpg</t>
        </is>
      </c>
      <c r="E43" s="2" t="inlineStr">
        <is>
          <t>Pendientes largos con perlas y cristales de brillo elegante.</t>
        </is>
      </c>
      <c r="F43" s="2" t="inlineStr">
        <is>
          <t>Aretes</t>
        </is>
      </c>
      <c r="G43" s="2" t="n">
        <v>2</v>
      </c>
      <c r="H43" s="2">
        <f>Configuracion!$B$2</f>
        <v/>
      </c>
      <c r="I43" s="4">
        <f>Configuracion!$B$3</f>
        <v/>
      </c>
      <c r="J43" s="2">
        <f>IF(UPPER(Configuracion!$B$2)="ON",Configuracion!$B$4,"")</f>
        <v/>
      </c>
      <c r="K43" s="3">
        <f>IF(UPPER(Configuracion!$B$2)="ON",ROUND(C43*(1-Configuracion!$B$3),0),ROUND(C43,0))</f>
        <v/>
      </c>
    </row>
    <row r="44">
      <c r="A44" s="2" t="n">
        <v>43</v>
      </c>
      <c r="B44" s="2" t="inlineStr">
        <is>
          <t>Pendientes de corazon verde - Modelo 7</t>
        </is>
      </c>
      <c r="C44" s="3" t="n">
        <v>50</v>
      </c>
      <c r="D44" s="2" t="inlineStr">
        <is>
          <t>43.jpg</t>
        </is>
      </c>
      <c r="E44" s="2" t="inlineStr">
        <is>
          <t>Pendientes largos con perlas y cristales de brillo elegante.</t>
        </is>
      </c>
      <c r="F44" s="2" t="inlineStr">
        <is>
          <t>Aretes</t>
        </is>
      </c>
      <c r="G44" s="2" t="n">
        <v>2</v>
      </c>
      <c r="H44" s="2">
        <f>Configuracion!$B$2</f>
        <v/>
      </c>
      <c r="I44" s="4">
        <f>Configuracion!$B$3</f>
        <v/>
      </c>
      <c r="J44" s="2">
        <f>IF(UPPER(Configuracion!$B$2)="ON",Configuracion!$B$4,"")</f>
        <v/>
      </c>
      <c r="K44" s="3">
        <f>IF(UPPER(Configuracion!$B$2)="ON",ROUND(C44*(1-Configuracion!$B$3),0),ROUND(C44,0))</f>
        <v/>
      </c>
    </row>
    <row r="45">
      <c r="A45" s="2" t="n">
        <v>44</v>
      </c>
      <c r="B45" s="2" t="inlineStr">
        <is>
          <t>Pendientes de ptalos dorados - Modelo 8</t>
        </is>
      </c>
      <c r="C45" s="3" t="n">
        <v>50</v>
      </c>
      <c r="D45" s="2" t="inlineStr">
        <is>
          <t>44.jpg</t>
        </is>
      </c>
      <c r="E45" s="2" t="inlineStr">
        <is>
          <t>Pendientes largos con perlas y cristales de brillo elegante.</t>
        </is>
      </c>
      <c r="F45" s="2" t="inlineStr">
        <is>
          <t>Aretes</t>
        </is>
      </c>
      <c r="G45" s="2" t="n">
        <v>2</v>
      </c>
      <c r="H45" s="2">
        <f>Configuracion!$B$2</f>
        <v/>
      </c>
      <c r="I45" s="4">
        <f>Configuracion!$B$3</f>
        <v/>
      </c>
      <c r="J45" s="2">
        <f>IF(UPPER(Configuracion!$B$2)="ON",Configuracion!$B$4,"")</f>
        <v/>
      </c>
      <c r="K45" s="3">
        <f>IF(UPPER(Configuracion!$B$2)="ON",ROUND(C45*(1-Configuracion!$B$3),0),ROUND(C45,0))</f>
        <v/>
      </c>
    </row>
    <row r="46">
      <c r="A46" s="2" t="n">
        <v>45</v>
      </c>
      <c r="B46" s="2" t="inlineStr">
        <is>
          <t>Pendientes de perlas y rosas - Modelo 9</t>
        </is>
      </c>
      <c r="C46" s="3" t="n">
        <v>40</v>
      </c>
      <c r="D46" s="2" t="inlineStr">
        <is>
          <t>45.jpg</t>
        </is>
      </c>
      <c r="E46" s="2" t="inlineStr">
        <is>
          <t>Pendientes largos con perlas y cristales de brillo elegante.</t>
        </is>
      </c>
      <c r="F46" s="2" t="inlineStr">
        <is>
          <t>Aretes</t>
        </is>
      </c>
      <c r="G46" s="2" t="n">
        <v>2</v>
      </c>
      <c r="H46" s="2">
        <f>Configuracion!$B$2</f>
        <v/>
      </c>
      <c r="I46" s="4">
        <f>Configuracion!$B$3</f>
        <v/>
      </c>
      <c r="J46" s="2">
        <f>IF(UPPER(Configuracion!$B$2)="ON",Configuracion!$B$4,"")</f>
        <v/>
      </c>
      <c r="K46" s="3">
        <f>IF(UPPER(Configuracion!$B$2)="ON",ROUND(C46*(1-Configuracion!$B$3),0),ROUND(C46,0))</f>
        <v/>
      </c>
    </row>
    <row r="47">
      <c r="A47" s="2" t="n">
        <v>46</v>
      </c>
      <c r="B47" s="2" t="inlineStr">
        <is>
          <t>Pendientes de flor de seda - Modelo 10</t>
        </is>
      </c>
      <c r="C47" s="3" t="n">
        <v>45</v>
      </c>
      <c r="D47" s="2" t="inlineStr">
        <is>
          <t>46.jpg</t>
        </is>
      </c>
      <c r="E47" s="2" t="inlineStr">
        <is>
          <t>Pendientes largos con perlas y cristales de brillo elegante.</t>
        </is>
      </c>
      <c r="F47" s="2" t="inlineStr">
        <is>
          <t>Aretes</t>
        </is>
      </c>
      <c r="G47" s="2" t="n">
        <v>2</v>
      </c>
      <c r="H47" s="2">
        <f>Configuracion!$B$2</f>
        <v/>
      </c>
      <c r="I47" s="4">
        <f>Configuracion!$B$3</f>
        <v/>
      </c>
      <c r="J47" s="2">
        <f>IF(UPPER(Configuracion!$B$2)="ON",Configuracion!$B$4,"")</f>
        <v/>
      </c>
      <c r="K47" s="3">
        <f>IF(UPPER(Configuracion!$B$2)="ON",ROUND(C47*(1-Configuracion!$B$3),0),ROUND(C47,0))</f>
        <v/>
      </c>
    </row>
    <row r="48">
      <c r="A48" s="2" t="n">
        <v>47</v>
      </c>
      <c r="B48" s="2" t="inlineStr">
        <is>
          <t>Pendientes de corazon de cristal - Modelo 11</t>
        </is>
      </c>
      <c r="C48" s="3" t="n">
        <v>45</v>
      </c>
      <c r="D48" s="2" t="inlineStr">
        <is>
          <t>47.jpg</t>
        </is>
      </c>
      <c r="E48" s="2" t="inlineStr">
        <is>
          <t>Pendientes largos con perlas y cristales de brillo elegante.</t>
        </is>
      </c>
      <c r="F48" s="2" t="inlineStr">
        <is>
          <t>Aretes</t>
        </is>
      </c>
      <c r="G48" s="2" t="n">
        <v>2</v>
      </c>
      <c r="H48" s="2">
        <f>Configuracion!$B$2</f>
        <v/>
      </c>
      <c r="I48" s="4">
        <f>Configuracion!$B$3</f>
        <v/>
      </c>
      <c r="J48" s="2">
        <f>IF(UPPER(Configuracion!$B$2)="ON",Configuracion!$B$4,"")</f>
        <v/>
      </c>
      <c r="K48" s="3">
        <f>IF(UPPER(Configuracion!$B$2)="ON",ROUND(C48*(1-Configuracion!$B$3),0),ROUND(C48,0))</f>
        <v/>
      </c>
    </row>
    <row r="49">
      <c r="A49" s="2" t="n">
        <v>48</v>
      </c>
      <c r="B49" s="2" t="inlineStr">
        <is>
          <t>Pendientes de flor de seda - Modelo 12</t>
        </is>
      </c>
      <c r="C49" s="3" t="n">
        <v>45</v>
      </c>
      <c r="D49" s="2" t="inlineStr">
        <is>
          <t>48.jpg</t>
        </is>
      </c>
      <c r="E49" s="2" t="inlineStr">
        <is>
          <t>Pendientes largos con perlas y cristales de brillo elegante.</t>
        </is>
      </c>
      <c r="F49" s="2" t="inlineStr">
        <is>
          <t>Aretes</t>
        </is>
      </c>
      <c r="G49" s="2" t="n">
        <v>2</v>
      </c>
      <c r="H49" s="2">
        <f>Configuracion!$B$2</f>
        <v/>
      </c>
      <c r="I49" s="4">
        <f>Configuracion!$B$3</f>
        <v/>
      </c>
      <c r="J49" s="2">
        <f>IF(UPPER(Configuracion!$B$2)="ON",Configuracion!$B$4,"")</f>
        <v/>
      </c>
      <c r="K49" s="3">
        <f>IF(UPPER(Configuracion!$B$2)="ON",ROUND(C49*(1-Configuracion!$B$3),0),ROUND(C49,0))</f>
        <v/>
      </c>
    </row>
    <row r="50">
      <c r="A50" s="2" t="n">
        <v>49</v>
      </c>
      <c r="B50" s="2" t="inlineStr">
        <is>
          <t>Pendientes cristales colgantes - Modelo 13</t>
        </is>
      </c>
      <c r="C50" s="3" t="n">
        <v>60</v>
      </c>
      <c r="D50" s="2" t="inlineStr">
        <is>
          <t>49.jpg</t>
        </is>
      </c>
      <c r="E50" s="2" t="inlineStr">
        <is>
          <t>Pendientes largos con perlas y cristales de brillo elegante.</t>
        </is>
      </c>
      <c r="F50" s="2" t="inlineStr">
        <is>
          <t>Aretes</t>
        </is>
      </c>
      <c r="G50" s="2" t="n">
        <v>2</v>
      </c>
      <c r="H50" s="2">
        <f>Configuracion!$B$2</f>
        <v/>
      </c>
      <c r="I50" s="4">
        <f>Configuracion!$B$3</f>
        <v/>
      </c>
      <c r="J50" s="2">
        <f>IF(UPPER(Configuracion!$B$2)="ON",Configuracion!$B$4,"")</f>
        <v/>
      </c>
      <c r="K50" s="3">
        <f>IF(UPPER(Configuracion!$B$2)="ON",ROUND(C50*(1-Configuracion!$B$3),0),ROUND(C50,0))</f>
        <v/>
      </c>
    </row>
    <row r="51">
      <c r="A51" s="2" t="n">
        <v>50</v>
      </c>
      <c r="B51" s="2" t="inlineStr">
        <is>
          <t>Pendientes racmio de uvas - Modelo 14</t>
        </is>
      </c>
      <c r="C51" s="3" t="n">
        <v>45</v>
      </c>
      <c r="D51" s="2" t="inlineStr">
        <is>
          <t>50.jpg</t>
        </is>
      </c>
      <c r="E51" s="2" t="inlineStr">
        <is>
          <t>Pendientes largos con perlas y cristales de brillo elegante.</t>
        </is>
      </c>
      <c r="F51" s="2" t="inlineStr">
        <is>
          <t>Aretes</t>
        </is>
      </c>
      <c r="G51" s="2" t="n">
        <v>2</v>
      </c>
      <c r="H51" s="2">
        <f>Configuracion!$B$2</f>
        <v/>
      </c>
      <c r="I51" s="4">
        <f>Configuracion!$B$3</f>
        <v/>
      </c>
      <c r="J51" s="2">
        <f>IF(UPPER(Configuracion!$B$2)="ON",Configuracion!$B$4,"")</f>
        <v/>
      </c>
      <c r="K51" s="3">
        <f>IF(UPPER(Configuracion!$B$2)="ON",ROUND(C51*(1-Configuracion!$B$3),0),ROUND(C51,0))</f>
        <v/>
      </c>
    </row>
    <row r="52">
      <c r="A52" s="2" t="n">
        <v>51</v>
      </c>
      <c r="B52" s="2" t="inlineStr">
        <is>
          <t>Pendientes de flores doradas - Modelo 15</t>
        </is>
      </c>
      <c r="C52" s="3" t="n">
        <v>60</v>
      </c>
      <c r="D52" s="2" t="inlineStr">
        <is>
          <t>51.jpg</t>
        </is>
      </c>
      <c r="E52" s="2" t="inlineStr">
        <is>
          <t>Pendientes largos con perlas y cristales de brillo elegante.</t>
        </is>
      </c>
      <c r="F52" s="2" t="inlineStr">
        <is>
          <t>Aretes</t>
        </is>
      </c>
      <c r="G52" s="2" t="n">
        <v>2</v>
      </c>
      <c r="H52" s="2">
        <f>Configuracion!$B$2</f>
        <v/>
      </c>
      <c r="I52" s="4">
        <f>Configuracion!$B$3</f>
        <v/>
      </c>
      <c r="J52" s="2">
        <f>IF(UPPER(Configuracion!$B$2)="ON",Configuracion!$B$4,"")</f>
        <v/>
      </c>
      <c r="K52" s="3">
        <f>IF(UPPER(Configuracion!$B$2)="ON",ROUND(C52*(1-Configuracion!$B$3),0),ROUND(C52,0))</f>
        <v/>
      </c>
    </row>
    <row r="53">
      <c r="A53" s="2" t="n">
        <v>52</v>
      </c>
      <c r="B53" s="2" t="inlineStr">
        <is>
          <t>Pendientes de perlas y flores - Modelo 16</t>
        </is>
      </c>
      <c r="C53" s="3" t="n">
        <v>40</v>
      </c>
      <c r="D53" s="2" t="inlineStr">
        <is>
          <t>52.jpg</t>
        </is>
      </c>
      <c r="E53" s="2" t="inlineStr">
        <is>
          <t>Pendientes largos con perlas y cristales de brillo elegante.</t>
        </is>
      </c>
      <c r="F53" s="2" t="inlineStr">
        <is>
          <t>Aretes</t>
        </is>
      </c>
      <c r="G53" s="2" t="n">
        <v>2</v>
      </c>
      <c r="H53" s="2">
        <f>Configuracion!$B$2</f>
        <v/>
      </c>
      <c r="I53" s="4">
        <f>Configuracion!$B$3</f>
        <v/>
      </c>
      <c r="J53" s="2">
        <f>IF(UPPER(Configuracion!$B$2)="ON",Configuracion!$B$4,"")</f>
        <v/>
      </c>
      <c r="K53" s="3">
        <f>IF(UPPER(Configuracion!$B$2)="ON",ROUND(C53*(1-Configuracion!$B$3),0),ROUND(C53,0))</f>
        <v/>
      </c>
    </row>
    <row r="54">
      <c r="A54" s="2" t="n">
        <v>53</v>
      </c>
      <c r="B54" s="2" t="inlineStr">
        <is>
          <t>Pendientes aquamarina de cristal - Modelo 17</t>
        </is>
      </c>
      <c r="C54" s="3" t="n">
        <v>60</v>
      </c>
      <c r="D54" s="2" t="inlineStr">
        <is>
          <t>53.jpg</t>
        </is>
      </c>
      <c r="E54" s="2" t="inlineStr">
        <is>
          <t>Pendientes largos con perlas y cristales de brillo elegante.</t>
        </is>
      </c>
      <c r="F54" s="2" t="inlineStr">
        <is>
          <t>Aretes</t>
        </is>
      </c>
      <c r="G54" s="2" t="n">
        <v>2</v>
      </c>
      <c r="H54" s="2">
        <f>Configuracion!$B$2</f>
        <v/>
      </c>
      <c r="I54" s="4">
        <f>Configuracion!$B$3</f>
        <v/>
      </c>
      <c r="J54" s="2">
        <f>IF(UPPER(Configuracion!$B$2)="ON",Configuracion!$B$4,"")</f>
        <v/>
      </c>
      <c r="K54" s="3">
        <f>IF(UPPER(Configuracion!$B$2)="ON",ROUND(C54*(1-Configuracion!$B$3),0),ROUND(C54,0))</f>
        <v/>
      </c>
    </row>
    <row r="55">
      <c r="A55" s="2" t="n">
        <v>54</v>
      </c>
      <c r="B55" s="2" t="inlineStr">
        <is>
          <t>Pendientes fuxia - Modelo 18</t>
        </is>
      </c>
      <c r="C55" s="3" t="n">
        <v>75</v>
      </c>
      <c r="D55" s="2" t="inlineStr">
        <is>
          <t>54.jpg</t>
        </is>
      </c>
      <c r="E55" s="2" t="inlineStr">
        <is>
          <t>Pendientes largos con perlas y cristales de brillo elegante.</t>
        </is>
      </c>
      <c r="F55" s="2" t="inlineStr">
        <is>
          <t>Aretes</t>
        </is>
      </c>
      <c r="G55" s="2" t="n">
        <v>1</v>
      </c>
      <c r="H55" s="2">
        <f>Configuracion!$B$2</f>
        <v/>
      </c>
      <c r="I55" s="4">
        <f>Configuracion!$B$3</f>
        <v/>
      </c>
      <c r="J55" s="2">
        <f>IF(UPPER(Configuracion!$B$2)="ON",Configuracion!$B$4,"")</f>
        <v/>
      </c>
      <c r="K55" s="3">
        <f>IF(UPPER(Configuracion!$B$2)="ON",ROUND(C55*(1-Configuracion!$B$3),0),ROUND(C55,0))</f>
        <v/>
      </c>
    </row>
    <row r="56">
      <c r="A56" s="2" t="n">
        <v>55</v>
      </c>
      <c r="B56" s="2" t="inlineStr">
        <is>
          <t>Collar cubo de azúcar - Modelo 1</t>
        </is>
      </c>
      <c r="C56" s="3" t="n">
        <v>20</v>
      </c>
      <c r="D56" s="2" t="inlineStr">
        <is>
          <t>55.jpg</t>
        </is>
      </c>
      <c r="E56" s="2" t="inlineStr">
        <is>
          <t>Collar delicado con colgante geométrico y acabado dorado.</t>
        </is>
      </c>
      <c r="F56" s="2" t="inlineStr">
        <is>
          <t>Collares</t>
        </is>
      </c>
      <c r="G56" s="2" t="n">
        <v>10</v>
      </c>
      <c r="H56" s="2">
        <f>Configuracion!$B$2</f>
        <v/>
      </c>
      <c r="I56" s="4">
        <f>Configuracion!$B$3</f>
        <v/>
      </c>
      <c r="J56" s="2">
        <f>IF(UPPER(Configuracion!$B$2)="ON",Configuracion!$B$4,"")</f>
        <v/>
      </c>
      <c r="K56" s="3">
        <f>IF(UPPER(Configuracion!$B$2)="ON",ROUND(C56*(1-Configuracion!$B$3),0),ROUND(C56,0))</f>
        <v/>
      </c>
    </row>
    <row r="57">
      <c r="A57" s="2" t="n">
        <v>56</v>
      </c>
      <c r="B57" s="2" t="inlineStr">
        <is>
          <t>Collar cubo de azúcar - Modelo 2</t>
        </is>
      </c>
      <c r="C57" s="3" t="n">
        <v>40</v>
      </c>
      <c r="D57" s="2" t="inlineStr">
        <is>
          <t>56.jpg</t>
        </is>
      </c>
      <c r="E57" s="2" t="inlineStr">
        <is>
          <t>Collar delicado con colgante geométrico y acabado dorado.</t>
        </is>
      </c>
      <c r="F57" s="2" t="inlineStr">
        <is>
          <t>Collares</t>
        </is>
      </c>
      <c r="G57" s="2" t="n">
        <v>10</v>
      </c>
      <c r="H57" s="2">
        <f>Configuracion!$B$2</f>
        <v/>
      </c>
      <c r="I57" s="4">
        <f>Configuracion!$B$3</f>
        <v/>
      </c>
      <c r="J57" s="2">
        <f>IF(UPPER(Configuracion!$B$2)="ON",Configuracion!$B$4,"")</f>
        <v/>
      </c>
      <c r="K57" s="3">
        <f>IF(UPPER(Configuracion!$B$2)="ON",ROUND(C57*(1-Configuracion!$B$3),0),ROUND(C57,0))</f>
        <v/>
      </c>
    </row>
    <row r="58">
      <c r="A58" s="2" t="n">
        <v>57</v>
      </c>
      <c r="B58" s="2" t="inlineStr">
        <is>
          <t>Collar cubo de azúcar - Modelo 3</t>
        </is>
      </c>
      <c r="C58" s="3" t="n">
        <v>25</v>
      </c>
      <c r="D58" s="2" t="inlineStr">
        <is>
          <t>57.jpg</t>
        </is>
      </c>
      <c r="E58" s="2" t="inlineStr">
        <is>
          <t>Collar delicado con colgante geométrico y acabado dorado.</t>
        </is>
      </c>
      <c r="F58" s="2" t="inlineStr">
        <is>
          <t>Collares</t>
        </is>
      </c>
      <c r="G58" s="2" t="n">
        <v>10</v>
      </c>
      <c r="H58" s="2">
        <f>Configuracion!$B$2</f>
        <v/>
      </c>
      <c r="I58" s="4">
        <f>Configuracion!$B$3</f>
        <v/>
      </c>
      <c r="J58" s="2">
        <f>IF(UPPER(Configuracion!$B$2)="ON",Configuracion!$B$4,"")</f>
        <v/>
      </c>
      <c r="K58" s="3">
        <f>IF(UPPER(Configuracion!$B$2)="ON",ROUND(C58*(1-Configuracion!$B$3),0),ROUND(C58,0))</f>
        <v/>
      </c>
    </row>
    <row r="59">
      <c r="A59" s="2" t="n">
        <v>58</v>
      </c>
      <c r="B59" s="2" t="inlineStr">
        <is>
          <t>Collar perla de azúcar - Modelo 4</t>
        </is>
      </c>
      <c r="C59" s="3" t="n">
        <v>30</v>
      </c>
      <c r="D59" s="2" t="inlineStr">
        <is>
          <t>58.jpg</t>
        </is>
      </c>
      <c r="E59" s="2" t="inlineStr">
        <is>
          <t>Collar delicado con colgante geométrico y acabado dorado.</t>
        </is>
      </c>
      <c r="F59" s="2" t="inlineStr">
        <is>
          <t>Collares</t>
        </is>
      </c>
      <c r="G59" s="2" t="n">
        <v>10</v>
      </c>
      <c r="H59" s="2">
        <f>Configuracion!$B$2</f>
        <v/>
      </c>
      <c r="I59" s="4">
        <f>Configuracion!$B$3</f>
        <v/>
      </c>
      <c r="J59" s="2">
        <f>IF(UPPER(Configuracion!$B$2)="ON",Configuracion!$B$4,"")</f>
        <v/>
      </c>
      <c r="K59" s="3">
        <f>IF(UPPER(Configuracion!$B$2)="ON",ROUND(C59*(1-Configuracion!$B$3),0),ROUND(C59,0))</f>
        <v/>
      </c>
    </row>
    <row r="60">
      <c r="A60" s="2" t="n">
        <v>59</v>
      </c>
      <c r="B60" s="2" t="inlineStr">
        <is>
          <t>Collar cubo de azúcar - Modelo 5</t>
        </is>
      </c>
      <c r="C60" s="3" t="n">
        <v>30</v>
      </c>
      <c r="D60" s="2" t="inlineStr">
        <is>
          <t>59.jpg</t>
        </is>
      </c>
      <c r="E60" s="2" t="inlineStr">
        <is>
          <t>Collar delicado con colgante geométrico y acabado dorado.</t>
        </is>
      </c>
      <c r="F60" s="2" t="inlineStr">
        <is>
          <t>Collares</t>
        </is>
      </c>
      <c r="G60" s="2" t="n">
        <v>10</v>
      </c>
      <c r="H60" s="2">
        <f>Configuracion!$B$2</f>
        <v/>
      </c>
      <c r="I60" s="4">
        <f>Configuracion!$B$3</f>
        <v/>
      </c>
      <c r="J60" s="2">
        <f>IF(UPPER(Configuracion!$B$2)="ON",Configuracion!$B$4,"")</f>
        <v/>
      </c>
      <c r="K60" s="3">
        <f>IF(UPPER(Configuracion!$B$2)="ON",ROUND(C60*(1-Configuracion!$B$3),0),ROUND(C60,0))</f>
        <v/>
      </c>
    </row>
    <row r="61">
      <c r="A61" s="2" t="n">
        <v>60</v>
      </c>
      <c r="B61" s="2" t="inlineStr">
        <is>
          <t>Collar cubo de azúcar - Modelo 6</t>
        </is>
      </c>
      <c r="C61" s="3" t="n">
        <v>35</v>
      </c>
      <c r="D61" s="2" t="inlineStr">
        <is>
          <t>60.jpg</t>
        </is>
      </c>
      <c r="E61" s="2" t="inlineStr">
        <is>
          <t>Collar delicado con colgante geométrico y acabado dorado.</t>
        </is>
      </c>
      <c r="F61" s="2" t="inlineStr">
        <is>
          <t>Collares</t>
        </is>
      </c>
      <c r="G61" s="2" t="n">
        <v>10</v>
      </c>
      <c r="H61" s="2">
        <f>Configuracion!$B$2</f>
        <v/>
      </c>
      <c r="I61" s="4">
        <f>Configuracion!$B$3</f>
        <v/>
      </c>
      <c r="J61" s="2">
        <f>IF(UPPER(Configuracion!$B$2)="ON",Configuracion!$B$4,"")</f>
        <v/>
      </c>
      <c r="K61" s="3">
        <f>IF(UPPER(Configuracion!$B$2)="ON",ROUND(C61*(1-Configuracion!$B$3),0),ROUND(C61,0))</f>
        <v/>
      </c>
    </row>
    <row r="62">
      <c r="A62" s="2" t="n">
        <v>61</v>
      </c>
      <c r="B62" s="2" t="inlineStr">
        <is>
          <t>Aros circulares retro - Modelo 1</t>
        </is>
      </c>
      <c r="C62" s="3" t="n">
        <v>25</v>
      </c>
      <c r="D62" s="2" t="inlineStr">
        <is>
          <t>61.jpg</t>
        </is>
      </c>
      <c r="E62" s="2" t="inlineStr">
        <is>
          <t>Aros circulares con estilo retro y presencia marcada.</t>
        </is>
      </c>
      <c r="F62" s="2" t="inlineStr">
        <is>
          <t>Aretes</t>
        </is>
      </c>
      <c r="G62" s="2" t="n">
        <v>10</v>
      </c>
      <c r="H62" s="2">
        <f>Configuracion!$B$2</f>
        <v/>
      </c>
      <c r="I62" s="4">
        <f>Configuracion!$B$3</f>
        <v/>
      </c>
      <c r="J62" s="2">
        <f>IF(UPPER(Configuracion!$B$2)="ON",Configuracion!$B$4,"")</f>
        <v/>
      </c>
      <c r="K62" s="3">
        <f>IF(UPPER(Configuracion!$B$2)="ON",ROUND(C62*(1-Configuracion!$B$3),0),ROUND(C62,0))</f>
        <v/>
      </c>
    </row>
    <row r="63">
      <c r="A63" s="2" t="n">
        <v>62</v>
      </c>
      <c r="B63" s="2" t="inlineStr">
        <is>
          <t>Aros circulares retro - Modelo 2</t>
        </is>
      </c>
      <c r="C63" s="3" t="n">
        <v>25</v>
      </c>
      <c r="D63" s="2" t="inlineStr">
        <is>
          <t>62.jpg</t>
        </is>
      </c>
      <c r="E63" s="2" t="inlineStr">
        <is>
          <t>Aros circulares con estilo retro y presencia marcada.</t>
        </is>
      </c>
      <c r="F63" s="2" t="inlineStr">
        <is>
          <t>Aretes</t>
        </is>
      </c>
      <c r="G63" s="2" t="n">
        <v>10</v>
      </c>
      <c r="H63" s="2">
        <f>Configuracion!$B$2</f>
        <v/>
      </c>
      <c r="I63" s="4">
        <f>Configuracion!$B$3</f>
        <v/>
      </c>
      <c r="J63" s="2">
        <f>IF(UPPER(Configuracion!$B$2)="ON",Configuracion!$B$4,"")</f>
        <v/>
      </c>
      <c r="K63" s="3">
        <f>IF(UPPER(Configuracion!$B$2)="ON",ROUND(C63*(1-Configuracion!$B$3),0),ROUND(C63,0))</f>
        <v/>
      </c>
    </row>
    <row r="64">
      <c r="A64" s="2" t="n">
        <v>63</v>
      </c>
      <c r="B64" s="2" t="inlineStr">
        <is>
          <t>Pendientes vintage estilo óleo - Modelo 1</t>
        </is>
      </c>
      <c r="C64" s="3" t="n">
        <v>30</v>
      </c>
      <c r="D64" s="2" t="inlineStr">
        <is>
          <t>63.jpg</t>
        </is>
      </c>
      <c r="E64" s="2" t="inlineStr">
        <is>
          <t>Pendientes artísticos con inspiración vintage y efecto óleo.</t>
        </is>
      </c>
      <c r="F64" s="2" t="inlineStr">
        <is>
          <t>Aretes</t>
        </is>
      </c>
      <c r="G64" s="2" t="n">
        <v>10</v>
      </c>
      <c r="H64" s="2">
        <f>Configuracion!$B$2</f>
        <v/>
      </c>
      <c r="I64" s="4">
        <f>Configuracion!$B$3</f>
        <v/>
      </c>
      <c r="J64" s="2">
        <f>IF(UPPER(Configuracion!$B$2)="ON",Configuracion!$B$4,"")</f>
        <v/>
      </c>
      <c r="K64" s="3">
        <f>IF(UPPER(Configuracion!$B$2)="ON",ROUND(C64*(1-Configuracion!$B$3),0),ROUND(C64,0))</f>
        <v/>
      </c>
    </row>
    <row r="65">
      <c r="A65" s="2" t="n">
        <v>64</v>
      </c>
      <c r="B65" s="2" t="inlineStr">
        <is>
          <t>Pendientes vintage estilo óleo - Modelo 2</t>
        </is>
      </c>
      <c r="C65" s="3" t="n">
        <v>50</v>
      </c>
      <c r="D65" s="2" t="inlineStr">
        <is>
          <t>64.jpg</t>
        </is>
      </c>
      <c r="E65" s="2" t="inlineStr">
        <is>
          <t>Pendientes artísticos con inspiración vintage y efecto óleo.</t>
        </is>
      </c>
      <c r="F65" s="2" t="inlineStr">
        <is>
          <t>Aretes</t>
        </is>
      </c>
      <c r="G65" s="2" t="n">
        <v>10</v>
      </c>
      <c r="H65" s="2">
        <f>Configuracion!$B$2</f>
        <v/>
      </c>
      <c r="I65" s="4">
        <f>Configuracion!$B$3</f>
        <v/>
      </c>
      <c r="J65" s="2">
        <f>IF(UPPER(Configuracion!$B$2)="ON",Configuracion!$B$4,"")</f>
        <v/>
      </c>
      <c r="K65" s="3">
        <f>IF(UPPER(Configuracion!$B$2)="ON",ROUND(C65*(1-Configuracion!$B$3),0),ROUND(C65,0))</f>
        <v/>
      </c>
    </row>
    <row r="66">
      <c r="A66" s="2" t="n">
        <v>65</v>
      </c>
      <c r="B66" s="2" t="inlineStr">
        <is>
          <t>Pendientes rosa vintage - Modelo 3</t>
        </is>
      </c>
      <c r="C66" s="3" t="n">
        <v>70</v>
      </c>
      <c r="D66" s="2" t="inlineStr">
        <is>
          <t>65.jpg</t>
        </is>
      </c>
      <c r="E66" s="2" t="inlineStr">
        <is>
          <t>Pendientes artísticos con inspiración vintage y efecto óleo.</t>
        </is>
      </c>
      <c r="F66" s="2" t="inlineStr">
        <is>
          <t>Aretes</t>
        </is>
      </c>
      <c r="G66" s="2" t="n">
        <v>10</v>
      </c>
      <c r="H66" s="2">
        <f>Configuracion!$B$2</f>
        <v/>
      </c>
      <c r="I66" s="4">
        <f>Configuracion!$B$3</f>
        <v/>
      </c>
      <c r="J66" s="2">
        <f>IF(UPPER(Configuracion!$B$2)="ON",Configuracion!$B$4,"")</f>
        <v/>
      </c>
      <c r="K66" s="3">
        <f>IF(UPPER(Configuracion!$B$2)="ON",ROUND(C66*(1-Configuracion!$B$3),0),ROUND(C66,0))</f>
        <v/>
      </c>
    </row>
    <row r="67">
      <c r="A67" s="2" t="n">
        <v>66</v>
      </c>
      <c r="B67" s="2" t="inlineStr">
        <is>
          <t>Pendientes vintage estilo óleo - Modelo 4</t>
        </is>
      </c>
      <c r="C67" s="3" t="n">
        <v>45</v>
      </c>
      <c r="D67" s="2" t="inlineStr">
        <is>
          <t>66.jpg</t>
        </is>
      </c>
      <c r="E67" s="2" t="inlineStr">
        <is>
          <t>Pendientes artísticos con inspiración vintage y efecto óleo.</t>
        </is>
      </c>
      <c r="F67" s="2" t="inlineStr">
        <is>
          <t>Aretes</t>
        </is>
      </c>
      <c r="G67" s="2" t="n">
        <v>10</v>
      </c>
      <c r="H67" s="2">
        <f>Configuracion!$B$2</f>
        <v/>
      </c>
      <c r="I67" s="4">
        <f>Configuracion!$B$3</f>
        <v/>
      </c>
      <c r="J67" s="2">
        <f>IF(UPPER(Configuracion!$B$2)="ON",Configuracion!$B$4,"")</f>
        <v/>
      </c>
      <c r="K67" s="3">
        <f>IF(UPPER(Configuracion!$B$2)="ON",ROUND(C67*(1-Configuracion!$B$3),0),ROUND(C67,0))</f>
        <v/>
      </c>
    </row>
    <row r="68">
      <c r="A68" s="2" t="n">
        <v>67</v>
      </c>
      <c r="B68" s="2" t="inlineStr">
        <is>
          <t>Pendientes vintage estilo óleo - Modelo 5</t>
        </is>
      </c>
      <c r="C68" s="3" t="n">
        <v>60</v>
      </c>
      <c r="D68" s="2" t="inlineStr">
        <is>
          <t>67.jpg</t>
        </is>
      </c>
      <c r="E68" s="2" t="inlineStr">
        <is>
          <t>Pendientes artísticos con inspiración vintage y efecto óleo.</t>
        </is>
      </c>
      <c r="F68" s="2" t="inlineStr">
        <is>
          <t>Aretes</t>
        </is>
      </c>
      <c r="G68" s="2" t="n">
        <v>10</v>
      </c>
      <c r="H68" s="2">
        <f>Configuracion!$B$2</f>
        <v/>
      </c>
      <c r="I68" s="4">
        <f>Configuracion!$B$3</f>
        <v/>
      </c>
      <c r="J68" s="2">
        <f>IF(UPPER(Configuracion!$B$2)="ON",Configuracion!$B$4,"")</f>
        <v/>
      </c>
      <c r="K68" s="3">
        <f>IF(UPPER(Configuracion!$B$2)="ON",ROUND(C68*(1-Configuracion!$B$3),0),ROUND(C68,0))</f>
        <v/>
      </c>
    </row>
    <row r="69">
      <c r="A69" s="2" t="n">
        <v>68</v>
      </c>
      <c r="B69" s="2" t="inlineStr">
        <is>
          <t>Pendientes vintage estilo óleo - Modelo 6</t>
        </is>
      </c>
      <c r="C69" s="3" t="n">
        <v>30</v>
      </c>
      <c r="D69" s="2" t="inlineStr">
        <is>
          <t>68.jpg</t>
        </is>
      </c>
      <c r="E69" s="2" t="inlineStr">
        <is>
          <t>Pendientes artísticos con inspiración vintage y efecto óleo.</t>
        </is>
      </c>
      <c r="F69" s="2" t="inlineStr">
        <is>
          <t>Aretes</t>
        </is>
      </c>
      <c r="G69" s="2" t="n">
        <v>10</v>
      </c>
      <c r="H69" s="2">
        <f>Configuracion!$B$2</f>
        <v/>
      </c>
      <c r="I69" s="4">
        <f>Configuracion!$B$3</f>
        <v/>
      </c>
      <c r="J69" s="2">
        <f>IF(UPPER(Configuracion!$B$2)="ON",Configuracion!$B$4,"")</f>
        <v/>
      </c>
      <c r="K69" s="3">
        <f>IF(UPPER(Configuracion!$B$2)="ON",ROUND(C69*(1-Configuracion!$B$3),0),ROUND(C69,0))</f>
        <v/>
      </c>
    </row>
    <row r="70">
      <c r="A70" s="2" t="n">
        <v>69</v>
      </c>
      <c r="B70" s="2" t="inlineStr">
        <is>
          <t>Pendientes vintage estilo óleo - Modelo 7</t>
        </is>
      </c>
      <c r="C70" s="3" t="n">
        <v>60</v>
      </c>
      <c r="D70" s="2" t="inlineStr">
        <is>
          <t>69.jpg</t>
        </is>
      </c>
      <c r="E70" s="2" t="inlineStr">
        <is>
          <t>Pendientes artísticos con inspiración vintage y efecto óleo.</t>
        </is>
      </c>
      <c r="F70" s="2" t="inlineStr">
        <is>
          <t>Aretes</t>
        </is>
      </c>
      <c r="G70" s="2" t="n">
        <v>10</v>
      </c>
      <c r="H70" s="2">
        <f>Configuracion!$B$2</f>
        <v/>
      </c>
      <c r="I70" s="4">
        <f>Configuracion!$B$3</f>
        <v/>
      </c>
      <c r="J70" s="2">
        <f>IF(UPPER(Configuracion!$B$2)="ON",Configuracion!$B$4,"")</f>
        <v/>
      </c>
      <c r="K70" s="3">
        <f>IF(UPPER(Configuracion!$B$2)="ON",ROUND(C70*(1-Configuracion!$B$3),0),ROUND(C70,0))</f>
        <v/>
      </c>
    </row>
    <row r="71" ht="12.9" customHeight="1">
      <c r="A71" s="2" t="n">
        <v>70</v>
      </c>
      <c r="B71" s="2" t="inlineStr">
        <is>
          <t>Pendientes de perla vintage</t>
        </is>
      </c>
      <c r="C71" s="3" t="n">
        <v>60</v>
      </c>
      <c r="D71" s="2" t="inlineStr">
        <is>
          <t>70.jpg</t>
        </is>
      </c>
      <c r="E71" s="2" t="inlineStr">
        <is>
          <t>Pendientes de mariposa con acabado esmaltado y aire vintage.</t>
        </is>
      </c>
      <c r="F71" s="2" t="inlineStr">
        <is>
          <t>Aretes</t>
        </is>
      </c>
      <c r="G71" s="2" t="n">
        <v>10</v>
      </c>
      <c r="H71" s="2">
        <f>Configuracion!$B$2</f>
        <v/>
      </c>
      <c r="I71" s="4">
        <f>Configuracion!$B$3</f>
        <v/>
      </c>
      <c r="J71" s="2">
        <f>IF(UPPER(Configuracion!$B$2)="ON",Configuracion!$B$4,"")</f>
        <v/>
      </c>
      <c r="K71" s="3">
        <f>IF(UPPER(Configuracion!$B$2)="ON",ROUND(C71*(1-Configuracion!$B$3),0),ROUND(C71,0))</f>
        <v/>
      </c>
    </row>
    <row r="72">
      <c r="A72" s="2" t="n">
        <v>71</v>
      </c>
      <c r="B72" s="2" t="inlineStr">
        <is>
          <t>Pendientes vintage estilo óleo - Modelo 8</t>
        </is>
      </c>
      <c r="C72" s="3" t="n">
        <v>45</v>
      </c>
      <c r="D72" s="2" t="inlineStr">
        <is>
          <t>71.jpg</t>
        </is>
      </c>
      <c r="E72" s="2" t="inlineStr">
        <is>
          <t>Pendientes artísticos con inspiración vintage y efecto óleo.</t>
        </is>
      </c>
      <c r="F72" s="2" t="inlineStr">
        <is>
          <t>Aretes</t>
        </is>
      </c>
      <c r="G72" s="2" t="n">
        <v>10</v>
      </c>
      <c r="H72" s="2">
        <f>Configuracion!$B$2</f>
        <v/>
      </c>
      <c r="I72" s="4">
        <f>Configuracion!$B$3</f>
        <v/>
      </c>
      <c r="J72" s="2">
        <f>IF(UPPER(Configuracion!$B$2)="ON",Configuracion!$B$4,"")</f>
        <v/>
      </c>
      <c r="K72" s="3">
        <f>IF(UPPER(Configuracion!$B$2)="ON",ROUND(C72*(1-Configuracion!$B$3),0),ROUND(C72,0))</f>
        <v/>
      </c>
    </row>
    <row r="73">
      <c r="A73" s="2" t="n">
        <v>72</v>
      </c>
      <c r="B73" s="2" t="inlineStr">
        <is>
          <t>Pendientes vintage estilo óleo - Modelo 9</t>
        </is>
      </c>
      <c r="C73" s="3" t="n">
        <v>40</v>
      </c>
      <c r="D73" s="2" t="inlineStr">
        <is>
          <t>72.jpg</t>
        </is>
      </c>
      <c r="E73" s="2" t="inlineStr">
        <is>
          <t>Pendientes artísticos con inspiración vintage y efecto óleo.</t>
        </is>
      </c>
      <c r="F73" s="2" t="inlineStr">
        <is>
          <t>Aretes</t>
        </is>
      </c>
      <c r="G73" s="2" t="n">
        <v>10</v>
      </c>
      <c r="H73" s="2">
        <f>Configuracion!$B$2</f>
        <v/>
      </c>
      <c r="I73" s="4">
        <f>Configuracion!$B$3</f>
        <v/>
      </c>
      <c r="J73" s="2">
        <f>IF(UPPER(Configuracion!$B$2)="ON",Configuracion!$B$4,"")</f>
        <v/>
      </c>
      <c r="K73" s="3">
        <f>IF(UPPER(Configuracion!$B$2)="ON",ROUND(C73*(1-Configuracion!$B$3),0),ROUND(C73,0))</f>
        <v/>
      </c>
    </row>
    <row r="74">
      <c r="A74" s="2" t="n">
        <v>73</v>
      </c>
      <c r="B74" s="2" t="inlineStr">
        <is>
          <t>Collar y Pulsera Murano Violeta</t>
        </is>
      </c>
      <c r="C74" s="3" t="n">
        <v>290</v>
      </c>
      <c r="D74" s="2" t="inlineStr">
        <is>
          <t>73.jpg</t>
        </is>
      </c>
      <c r="E74" s="2" t="inlineStr">
        <is>
          <t>Pendientes con cristal Murano en tono morado.</t>
        </is>
      </c>
      <c r="F74" s="2" t="inlineStr">
        <is>
          <t>Aretes</t>
        </is>
      </c>
      <c r="G74" s="2" t="n">
        <v>5</v>
      </c>
      <c r="H74" s="2">
        <f>Configuracion!$B$2</f>
        <v/>
      </c>
      <c r="I74" s="4">
        <f>Configuracion!$B$3</f>
        <v/>
      </c>
      <c r="J74" s="2">
        <f>IF(UPPER(Configuracion!$B$2)="ON",Configuracion!$B$4,"")</f>
        <v/>
      </c>
      <c r="K74" s="3">
        <f>IF(UPPER(Configuracion!$B$2)="ON",ROUND(C74*(1-Configuracion!$B$3),0),ROUND(C74,0))</f>
        <v/>
      </c>
    </row>
    <row r="75">
      <c r="A75" s="2" t="n">
        <v>74</v>
      </c>
      <c r="B75" s="2" t="inlineStr">
        <is>
          <t>Collar con rodonita - Modelo 1</t>
        </is>
      </c>
      <c r="C75" s="3" t="n">
        <v>75</v>
      </c>
      <c r="D75" s="2" t="inlineStr">
        <is>
          <t>74.jpg</t>
        </is>
      </c>
      <c r="E75" s="2" t="inlineStr">
        <is>
          <t>Collar vintage con colgante de rodonita y brillo sutil.</t>
        </is>
      </c>
      <c r="F75" s="2" t="inlineStr">
        <is>
          <t>Collares</t>
        </is>
      </c>
      <c r="G75" s="2" t="n">
        <v>10</v>
      </c>
      <c r="H75" s="2">
        <f>Configuracion!$B$2</f>
        <v/>
      </c>
      <c r="I75" s="4">
        <f>Configuracion!$B$3</f>
        <v/>
      </c>
      <c r="J75" s="2">
        <f>IF(UPPER(Configuracion!$B$2)="ON",Configuracion!$B$4,"")</f>
        <v/>
      </c>
      <c r="K75" s="3">
        <f>IF(UPPER(Configuracion!$B$2)="ON",ROUND(C75*(1-Configuracion!$B$3),0),ROUND(C75,0))</f>
        <v/>
      </c>
    </row>
    <row r="76">
      <c r="A76" s="2" t="n">
        <v>75</v>
      </c>
      <c r="B76" s="2" t="inlineStr">
        <is>
          <t>Collar con rodonita - Modelo 2</t>
        </is>
      </c>
      <c r="C76" s="3" t="n">
        <v>75</v>
      </c>
      <c r="D76" s="2" t="inlineStr">
        <is>
          <t>75.jpg</t>
        </is>
      </c>
      <c r="E76" s="2" t="inlineStr">
        <is>
          <t>Collar vintage con colgante de rodonita y brillo sutil.</t>
        </is>
      </c>
      <c r="F76" s="2" t="inlineStr">
        <is>
          <t>Collares</t>
        </is>
      </c>
      <c r="G76" s="2" t="n">
        <v>10</v>
      </c>
      <c r="H76" s="2">
        <f>Configuracion!$B$2</f>
        <v/>
      </c>
      <c r="I76" s="4">
        <f>Configuracion!$B$3</f>
        <v/>
      </c>
      <c r="J76" s="2">
        <f>IF(UPPER(Configuracion!$B$2)="ON",Configuracion!$B$4,"")</f>
        <v/>
      </c>
      <c r="K76" s="3">
        <f>IF(UPPER(Configuracion!$B$2)="ON",ROUND(C76*(1-Configuracion!$B$3),0),ROUND(C76,0))</f>
        <v/>
      </c>
    </row>
    <row r="77">
      <c r="A77" s="2" t="n">
        <v>76</v>
      </c>
      <c r="B77" s="2" t="inlineStr">
        <is>
          <t>Collar con rodonita - Modelo 3</t>
        </is>
      </c>
      <c r="C77" s="3" t="n">
        <v>75</v>
      </c>
      <c r="D77" s="2" t="inlineStr">
        <is>
          <t>76.jpg</t>
        </is>
      </c>
      <c r="E77" s="2" t="inlineStr">
        <is>
          <t>Collar vintage con colgante de rodonita y brillo sutil.</t>
        </is>
      </c>
      <c r="F77" s="2" t="inlineStr">
        <is>
          <t>Collares</t>
        </is>
      </c>
      <c r="G77" s="2" t="n">
        <v>10</v>
      </c>
      <c r="H77" s="2">
        <f>Configuracion!$B$2</f>
        <v/>
      </c>
      <c r="I77" s="4">
        <f>Configuracion!$B$3</f>
        <v/>
      </c>
      <c r="J77" s="2">
        <f>IF(UPPER(Configuracion!$B$2)="ON",Configuracion!$B$4,"")</f>
        <v/>
      </c>
      <c r="K77" s="3">
        <f>IF(UPPER(Configuracion!$B$2)="ON",ROUND(C77*(1-Configuracion!$B$3),0),ROUND(C77,0))</f>
        <v/>
      </c>
    </row>
    <row r="78">
      <c r="A78" s="2" t="n">
        <v>77</v>
      </c>
      <c r="B78" s="2" t="inlineStr">
        <is>
          <t>Collar con rodonita - Modelo 4</t>
        </is>
      </c>
      <c r="C78" s="3" t="n">
        <v>70</v>
      </c>
      <c r="D78" s="2" t="inlineStr">
        <is>
          <t>77.jpg</t>
        </is>
      </c>
      <c r="E78" s="2" t="inlineStr">
        <is>
          <t>Collar vintage con colgante de rodonita y brillo sutil.</t>
        </is>
      </c>
      <c r="F78" s="2" t="inlineStr">
        <is>
          <t>Collares</t>
        </is>
      </c>
      <c r="G78" s="2" t="n">
        <v>10</v>
      </c>
      <c r="H78" s="2">
        <f>Configuracion!$B$2</f>
        <v/>
      </c>
      <c r="I78" s="4">
        <f>Configuracion!$B$3</f>
        <v/>
      </c>
      <c r="J78" s="2">
        <f>IF(UPPER(Configuracion!$B$2)="ON",Configuracion!$B$4,"")</f>
        <v/>
      </c>
      <c r="K78" s="3">
        <f>IF(UPPER(Configuracion!$B$2)="ON",ROUND(C78*(1-Configuracion!$B$3),0),ROUND(C78,0))</f>
        <v/>
      </c>
    </row>
    <row r="79">
      <c r="A79" s="2" t="n">
        <v>78</v>
      </c>
      <c r="B79" s="2" t="inlineStr">
        <is>
          <t>Collar con rodonita - Modelo 5</t>
        </is>
      </c>
      <c r="C79" s="3" t="n">
        <v>85</v>
      </c>
      <c r="D79" s="2" t="inlineStr">
        <is>
          <t>78.jpg</t>
        </is>
      </c>
      <c r="E79" s="2" t="inlineStr">
        <is>
          <t>Collar vintage con colgante de rodonita y brillo sutil.</t>
        </is>
      </c>
      <c r="F79" s="2" t="inlineStr">
        <is>
          <t>Collares</t>
        </is>
      </c>
      <c r="G79" s="2" t="n">
        <v>10</v>
      </c>
      <c r="H79" s="2">
        <f>Configuracion!$B$2</f>
        <v/>
      </c>
      <c r="I79" s="4">
        <f>Configuracion!$B$3</f>
        <v/>
      </c>
      <c r="J79" s="2">
        <f>IF(UPPER(Configuracion!$B$2)="ON",Configuracion!$B$4,"")</f>
        <v/>
      </c>
      <c r="K79" s="3">
        <f>IF(UPPER(Configuracion!$B$2)="ON",ROUND(C79*(1-Configuracion!$B$3),0),ROUND(C79,0))</f>
        <v/>
      </c>
    </row>
    <row r="80">
      <c r="A80" s="2" t="n">
        <v>79</v>
      </c>
      <c r="B80" s="2" t="inlineStr">
        <is>
          <t>Collar con rodonita - Modelo 6</t>
        </is>
      </c>
      <c r="C80" s="3" t="n">
        <v>65</v>
      </c>
      <c r="D80" s="2" t="inlineStr">
        <is>
          <t>79.jpg</t>
        </is>
      </c>
      <c r="E80" s="2" t="inlineStr">
        <is>
          <t>Collar vintage con colgante de rodonita y brillo sutil.</t>
        </is>
      </c>
      <c r="F80" s="2" t="inlineStr">
        <is>
          <t>Collares</t>
        </is>
      </c>
      <c r="G80" s="2" t="n">
        <v>10</v>
      </c>
      <c r="H80" s="2">
        <f>Configuracion!$B$2</f>
        <v/>
      </c>
      <c r="I80" s="4">
        <f>Configuracion!$B$3</f>
        <v/>
      </c>
      <c r="J80" s="2">
        <f>IF(UPPER(Configuracion!$B$2)="ON",Configuracion!$B$4,"")</f>
        <v/>
      </c>
      <c r="K80" s="3">
        <f>IF(UPPER(Configuracion!$B$2)="ON",ROUND(C80*(1-Configuracion!$B$3),0),ROUND(C80,0))</f>
        <v/>
      </c>
    </row>
    <row r="81">
      <c r="A81" s="2" t="n">
        <v>80</v>
      </c>
      <c r="B81" s="2" t="inlineStr">
        <is>
          <t>Collar de perlas y fresas - Modelo 1</t>
        </is>
      </c>
      <c r="C81" s="3" t="n">
        <v>75</v>
      </c>
      <c r="D81" s="2" t="inlineStr">
        <is>
          <t>80.jpg</t>
        </is>
      </c>
      <c r="E81" s="2" t="inlineStr">
        <is>
          <t>Collar alegre con perlas y detalle de fresas.</t>
        </is>
      </c>
      <c r="F81" s="2" t="inlineStr">
        <is>
          <t>Collares</t>
        </is>
      </c>
      <c r="G81" s="2" t="n">
        <v>10</v>
      </c>
      <c r="H81" s="2">
        <f>Configuracion!$B$2</f>
        <v/>
      </c>
      <c r="I81" s="4">
        <f>Configuracion!$B$3</f>
        <v/>
      </c>
      <c r="J81" s="2">
        <f>IF(UPPER(Configuracion!$B$2)="ON",Configuracion!$B$4,"")</f>
        <v/>
      </c>
      <c r="K81" s="3">
        <f>IF(UPPER(Configuracion!$B$2)="ON",ROUND(C81*(1-Configuracion!$B$3),0),ROUND(C81,0))</f>
        <v/>
      </c>
    </row>
    <row r="82">
      <c r="A82" s="2" t="n">
        <v>81</v>
      </c>
      <c r="B82" s="2" t="inlineStr">
        <is>
          <t>Collar de perlas y fresas - Modelo 2</t>
        </is>
      </c>
      <c r="C82" s="3" t="n">
        <v>75</v>
      </c>
      <c r="D82" s="2" t="inlineStr">
        <is>
          <t>81.jpg</t>
        </is>
      </c>
      <c r="E82" s="2" t="inlineStr">
        <is>
          <t>Collar alegre con perlas y detalle de fresas.</t>
        </is>
      </c>
      <c r="F82" s="2" t="inlineStr">
        <is>
          <t>Collares</t>
        </is>
      </c>
      <c r="G82" s="2" t="n">
        <v>10</v>
      </c>
      <c r="H82" s="2">
        <f>Configuracion!$B$2</f>
        <v/>
      </c>
      <c r="I82" s="4">
        <f>Configuracion!$B$3</f>
        <v/>
      </c>
      <c r="J82" s="2">
        <f>IF(UPPER(Configuracion!$B$2)="ON",Configuracion!$B$4,"")</f>
        <v/>
      </c>
      <c r="K82" s="3">
        <f>IF(UPPER(Configuracion!$B$2)="ON",ROUND(C82*(1-Configuracion!$B$3),0),ROUND(C82,0))</f>
        <v/>
      </c>
    </row>
    <row r="83" ht="12.9" customHeight="1">
      <c r="A83" s="2" t="n">
        <v>82</v>
      </c>
      <c r="B83" s="2" t="inlineStr">
        <is>
          <t>Pendientes hada del bosque - Modelo 1</t>
        </is>
      </c>
      <c r="C83" s="3" t="n">
        <v>45</v>
      </c>
      <c r="D83" s="2" t="inlineStr">
        <is>
          <t>82.jpg</t>
        </is>
      </c>
      <c r="E83" s="2" t="inlineStr">
        <is>
          <t>Pendientes de fantasía con acabado esmaltado y estilo bosque.</t>
        </is>
      </c>
      <c r="F83" s="2" t="inlineStr">
        <is>
          <t>Aretes</t>
        </is>
      </c>
      <c r="G83" s="2" t="n">
        <v>10</v>
      </c>
      <c r="H83" s="2">
        <f>Configuracion!$B$2</f>
        <v/>
      </c>
      <c r="I83" s="4">
        <f>Configuracion!$B$3</f>
        <v/>
      </c>
      <c r="J83" s="2">
        <f>IF(UPPER(Configuracion!$B$2)="ON",Configuracion!$B$4,"")</f>
        <v/>
      </c>
      <c r="K83" s="3">
        <f>IF(UPPER(Configuracion!$B$2)="ON",ROUND(C83*(1-Configuracion!$B$3),0),ROUND(C83,0))</f>
        <v/>
      </c>
    </row>
    <row r="84" ht="12.9" customHeight="1">
      <c r="A84" s="2" t="n">
        <v>83</v>
      </c>
      <c r="B84" s="2" t="inlineStr">
        <is>
          <t>Pendientes hada del bosque - Modelo 2</t>
        </is>
      </c>
      <c r="C84" s="3" t="n">
        <v>35</v>
      </c>
      <c r="D84" s="2" t="inlineStr">
        <is>
          <t>83.jpg</t>
        </is>
      </c>
      <c r="E84" s="2" t="inlineStr">
        <is>
          <t>Pendientes de fantasía con acabado esmaltado y estilo bosque.</t>
        </is>
      </c>
      <c r="F84" s="2" t="inlineStr">
        <is>
          <t>Aretes</t>
        </is>
      </c>
      <c r="G84" s="2" t="n">
        <v>10</v>
      </c>
      <c r="H84" s="2">
        <f>Configuracion!$B$2</f>
        <v/>
      </c>
      <c r="I84" s="4">
        <f>Configuracion!$B$3</f>
        <v/>
      </c>
      <c r="J84" s="2">
        <f>IF(UPPER(Configuracion!$B$2)="ON",Configuracion!$B$4,"")</f>
        <v/>
      </c>
      <c r="K84" s="3">
        <f>IF(UPPER(Configuracion!$B$2)="ON",ROUND(C84*(1-Configuracion!$B$3),0),ROUND(C84,0))</f>
        <v/>
      </c>
    </row>
    <row r="85" ht="12.9" customHeight="1">
      <c r="A85" s="2" t="n">
        <v>84</v>
      </c>
      <c r="B85" s="2" t="inlineStr">
        <is>
          <t>Pendientes hada del bosque - Modelo 3</t>
        </is>
      </c>
      <c r="C85" s="3" t="n">
        <v>40</v>
      </c>
      <c r="D85" s="2" t="inlineStr">
        <is>
          <t>84.jpg</t>
        </is>
      </c>
      <c r="E85" s="2" t="inlineStr">
        <is>
          <t>Pendientes de fantasía con acabado esmaltado y estilo bosque.</t>
        </is>
      </c>
      <c r="F85" s="2" t="inlineStr">
        <is>
          <t>Aretes</t>
        </is>
      </c>
      <c r="G85" s="2" t="n">
        <v>10</v>
      </c>
      <c r="H85" s="2">
        <f>Configuracion!$B$2</f>
        <v/>
      </c>
      <c r="I85" s="4">
        <f>Configuracion!$B$3</f>
        <v/>
      </c>
      <c r="J85" s="2">
        <f>IF(UPPER(Configuracion!$B$2)="ON",Configuracion!$B$4,"")</f>
        <v/>
      </c>
      <c r="K85" s="3">
        <f>IF(UPPER(Configuracion!$B$2)="ON",ROUND(C85*(1-Configuracion!$B$3),0),ROUND(C85,0))</f>
        <v/>
      </c>
    </row>
    <row r="86" ht="12.9" customHeight="1">
      <c r="A86" s="2" t="n">
        <v>85</v>
      </c>
      <c r="B86" s="2" t="inlineStr">
        <is>
          <t>Pendientes hada del bosque - Modelo 4</t>
        </is>
      </c>
      <c r="C86" s="3" t="n">
        <v>30</v>
      </c>
      <c r="D86" s="2" t="inlineStr">
        <is>
          <t>85.jpg</t>
        </is>
      </c>
      <c r="E86" s="2" t="inlineStr">
        <is>
          <t>Pendientes de fantasía con acabado esmaltado y estilo bosque.</t>
        </is>
      </c>
      <c r="F86" s="2" t="inlineStr">
        <is>
          <t>Aretes</t>
        </is>
      </c>
      <c r="G86" s="2" t="n">
        <v>10</v>
      </c>
      <c r="H86" s="2">
        <f>Configuracion!$B$2</f>
        <v/>
      </c>
      <c r="I86" s="4">
        <f>Configuracion!$B$3</f>
        <v/>
      </c>
      <c r="J86" s="2">
        <f>IF(UPPER(Configuracion!$B$2)="ON",Configuracion!$B$4,"")</f>
        <v/>
      </c>
      <c r="K86" s="3">
        <f>IF(UPPER(Configuracion!$B$2)="ON",ROUND(C86*(1-Configuracion!$B$3),0),ROUND(C86,0))</f>
        <v/>
      </c>
    </row>
    <row r="87" ht="12.9" customHeight="1">
      <c r="A87" s="2" t="n">
        <v>86</v>
      </c>
      <c r="B87" s="2" t="inlineStr">
        <is>
          <t>Pendientes hada del bosque - Modelo 5</t>
        </is>
      </c>
      <c r="C87" s="3" t="n">
        <v>35</v>
      </c>
      <c r="D87" s="2" t="inlineStr">
        <is>
          <t>86.jpg</t>
        </is>
      </c>
      <c r="E87" s="2" t="inlineStr">
        <is>
          <t>Pendientes de fantasía con acabado esmaltado y estilo bosque.</t>
        </is>
      </c>
      <c r="F87" s="2" t="inlineStr">
        <is>
          <t>Aretes</t>
        </is>
      </c>
      <c r="G87" s="2" t="n">
        <v>10</v>
      </c>
      <c r="H87" s="2">
        <f>Configuracion!$B$2</f>
        <v/>
      </c>
      <c r="I87" s="4">
        <f>Configuracion!$B$3</f>
        <v/>
      </c>
      <c r="J87" s="2">
        <f>IF(UPPER(Configuracion!$B$2)="ON",Configuracion!$B$4,"")</f>
        <v/>
      </c>
      <c r="K87" s="3">
        <f>IF(UPPER(Configuracion!$B$2)="ON",ROUND(C87*(1-Configuracion!$B$3),0),ROUND(C87,0))</f>
        <v/>
      </c>
    </row>
    <row r="88" ht="12.9" customHeight="1">
      <c r="A88" s="2" t="n">
        <v>87</v>
      </c>
      <c r="B88" s="2" t="inlineStr">
        <is>
          <t>Pendientes hada del bosque - Modelo 6</t>
        </is>
      </c>
      <c r="C88" s="3" t="n">
        <v>35</v>
      </c>
      <c r="D88" s="2" t="inlineStr">
        <is>
          <t>87.jpg</t>
        </is>
      </c>
      <c r="E88" s="2" t="inlineStr">
        <is>
          <t>Pendientes de fantasía con acabado esmaltado y estilo bosque.</t>
        </is>
      </c>
      <c r="F88" s="2" t="inlineStr">
        <is>
          <t>Aretes</t>
        </is>
      </c>
      <c r="G88" s="2" t="n">
        <v>10</v>
      </c>
      <c r="H88" s="2">
        <f>Configuracion!$B$2</f>
        <v/>
      </c>
      <c r="I88" s="4">
        <f>Configuracion!$B$3</f>
        <v/>
      </c>
      <c r="J88" s="2">
        <f>IF(UPPER(Configuracion!$B$2)="ON",Configuracion!$B$4,"")</f>
        <v/>
      </c>
      <c r="K88" s="3">
        <f>IF(UPPER(Configuracion!$B$2)="ON",ROUND(C88*(1-Configuracion!$B$3),0),ROUND(C88,0))</f>
        <v/>
      </c>
    </row>
    <row r="89" ht="12.9" customHeight="1">
      <c r="A89" s="2" t="n">
        <v>88</v>
      </c>
      <c r="B89" s="2" t="inlineStr">
        <is>
          <t>Pendientes hada del bosque - Modelo 7</t>
        </is>
      </c>
      <c r="C89" s="3" t="n">
        <v>35</v>
      </c>
      <c r="D89" s="2" t="inlineStr">
        <is>
          <t>88.jpg</t>
        </is>
      </c>
      <c r="E89" s="2" t="inlineStr">
        <is>
          <t>Pendientes de fantasía con acabado esmaltado y estilo bosque.</t>
        </is>
      </c>
      <c r="F89" s="2" t="inlineStr">
        <is>
          <t>Aretes</t>
        </is>
      </c>
      <c r="G89" s="2" t="n">
        <v>10</v>
      </c>
      <c r="H89" s="2">
        <f>Configuracion!$B$2</f>
        <v/>
      </c>
      <c r="I89" s="4">
        <f>Configuracion!$B$3</f>
        <v/>
      </c>
      <c r="J89" s="2">
        <f>IF(UPPER(Configuracion!$B$2)="ON",Configuracion!$B$4,"")</f>
        <v/>
      </c>
      <c r="K89" s="3">
        <f>IF(UPPER(Configuracion!$B$2)="ON",ROUND(C89*(1-Configuracion!$B$3),0),ROUND(C89,0))</f>
        <v/>
      </c>
    </row>
    <row r="90">
      <c r="A90" s="2" t="n">
        <v>89</v>
      </c>
      <c r="B90" s="2" t="inlineStr">
        <is>
          <t>Accesorio de diseño</t>
        </is>
      </c>
      <c r="C90" s="3" t="n">
        <v>30</v>
      </c>
      <c r="D90" s="2" t="inlineStr">
        <is>
          <t>89.jpg</t>
        </is>
      </c>
      <c r="E90" s="2" t="inlineStr">
        <is>
          <t>Accesorio moderno de diseño sencillo y versátil.</t>
        </is>
      </c>
      <c r="F90" s="2" t="inlineStr">
        <is>
          <t>Aretes</t>
        </is>
      </c>
      <c r="G90" s="2" t="n">
        <v>5</v>
      </c>
      <c r="H90" s="2">
        <f>Configuracion!$B$2</f>
        <v/>
      </c>
      <c r="I90" s="4">
        <f>Configuracion!$B$3</f>
        <v/>
      </c>
      <c r="J90" s="2">
        <f>IF(UPPER(Configuracion!$B$2)="ON",Configuracion!$B$4,"")</f>
        <v/>
      </c>
      <c r="K90" s="3">
        <f>IF(UPPER(Configuracion!$B$2)="ON",ROUND(C90*(1-Configuracion!$B$3),0),ROUND(C90,0))</f>
        <v/>
      </c>
    </row>
    <row r="91" ht="12.9" customHeight="1">
      <c r="A91" s="2" t="n">
        <v>90</v>
      </c>
      <c r="B91" s="2" t="inlineStr">
        <is>
          <t>Pendientes de mariposas - Modelo 1</t>
        </is>
      </c>
      <c r="C91" s="3" t="n">
        <v>25</v>
      </c>
      <c r="D91" s="2" t="inlineStr">
        <is>
          <t>90.jpg</t>
        </is>
      </c>
      <c r="E91" s="2" t="inlineStr">
        <is>
          <t>Pendientes de lazo con circonitas y perlas, delicados y femeninos.</t>
        </is>
      </c>
      <c r="F91" s="2" t="inlineStr">
        <is>
          <t>Aretes</t>
        </is>
      </c>
      <c r="G91" s="2" t="n">
        <v>10</v>
      </c>
      <c r="H91" s="2">
        <f>Configuracion!$B$2</f>
        <v/>
      </c>
      <c r="I91" s="4">
        <f>Configuracion!$B$3</f>
        <v/>
      </c>
      <c r="J91" s="2">
        <f>IF(UPPER(Configuracion!$B$2)="ON",Configuracion!$B$4,"")</f>
        <v/>
      </c>
      <c r="K91" s="3">
        <f>IF(UPPER(Configuracion!$B$2)="ON",ROUND(C91*(1-Configuracion!$B$3),0),ROUND(C91,0))</f>
        <v/>
      </c>
    </row>
    <row r="92" ht="12.9" customHeight="1">
      <c r="A92" s="2" t="n">
        <v>91</v>
      </c>
      <c r="B92" s="2" t="inlineStr">
        <is>
          <t>Pendientes de hada simple - Modelo 2</t>
        </is>
      </c>
      <c r="C92" s="3" t="n">
        <v>25</v>
      </c>
      <c r="D92" s="2" t="inlineStr">
        <is>
          <t>91.jpg</t>
        </is>
      </c>
      <c r="E92" s="2" t="inlineStr">
        <is>
          <t>Pendientes de lazo con circonitas y perlas, delicados y femeninos.</t>
        </is>
      </c>
      <c r="F92" s="2" t="inlineStr">
        <is>
          <t>Aretes</t>
        </is>
      </c>
      <c r="G92" s="2" t="n">
        <v>10</v>
      </c>
      <c r="H92" s="2">
        <f>Configuracion!$B$2</f>
        <v/>
      </c>
      <c r="I92" s="4">
        <f>Configuracion!$B$3</f>
        <v/>
      </c>
      <c r="J92" s="2">
        <f>IF(UPPER(Configuracion!$B$2)="ON",Configuracion!$B$4,"")</f>
        <v/>
      </c>
      <c r="K92" s="3">
        <f>IF(UPPER(Configuracion!$B$2)="ON",ROUND(C92*(1-Configuracion!$B$3),0),ROUND(C92,0))</f>
        <v/>
      </c>
    </row>
    <row r="93" ht="12.9" customHeight="1">
      <c r="A93" s="2" t="n">
        <v>92</v>
      </c>
      <c r="B93" s="2" t="inlineStr">
        <is>
          <t>Pendientes simple - Modelo 3</t>
        </is>
      </c>
      <c r="C93" s="3" t="n">
        <v>20</v>
      </c>
      <c r="D93" s="2" t="inlineStr">
        <is>
          <t>92.jpg</t>
        </is>
      </c>
      <c r="E93" s="2" t="inlineStr">
        <is>
          <t>Pendientes de lazo con circonitas y perlas, delicados y femeninos.</t>
        </is>
      </c>
      <c r="F93" s="2" t="inlineStr">
        <is>
          <t>Aretes</t>
        </is>
      </c>
      <c r="G93" s="2" t="n">
        <v>10</v>
      </c>
      <c r="H93" s="2">
        <f>Configuracion!$B$2</f>
        <v/>
      </c>
      <c r="I93" s="4">
        <f>Configuracion!$B$3</f>
        <v/>
      </c>
      <c r="J93" s="2">
        <f>IF(UPPER(Configuracion!$B$2)="ON",Configuracion!$B$4,"")</f>
        <v/>
      </c>
      <c r="K93" s="3">
        <f>IF(UPPER(Configuracion!$B$2)="ON",ROUND(C93*(1-Configuracion!$B$3),0),ROUND(C93,0))</f>
        <v/>
      </c>
    </row>
    <row r="94" ht="12.9" customHeight="1">
      <c r="A94" s="2" t="n">
        <v>93</v>
      </c>
      <c r="B94" s="2" t="inlineStr">
        <is>
          <t>Pendientes flores de cristal - Modelo 4</t>
        </is>
      </c>
      <c r="C94" s="3" t="n">
        <v>20</v>
      </c>
      <c r="D94" s="2" t="inlineStr">
        <is>
          <t>93.jpg</t>
        </is>
      </c>
      <c r="E94" s="2" t="inlineStr">
        <is>
          <t>Pendientes de lazo con circonitas y perlas, delicados y femeninos.</t>
        </is>
      </c>
      <c r="F94" s="2" t="inlineStr">
        <is>
          <t>Aretes</t>
        </is>
      </c>
      <c r="G94" s="2" t="n">
        <v>10</v>
      </c>
      <c r="H94" s="2">
        <f>Configuracion!$B$2</f>
        <v/>
      </c>
      <c r="I94" s="4">
        <f>Configuracion!$B$3</f>
        <v/>
      </c>
      <c r="J94" s="2">
        <f>IF(UPPER(Configuracion!$B$2)="ON",Configuracion!$B$4,"")</f>
        <v/>
      </c>
      <c r="K94" s="3">
        <f>IF(UPPER(Configuracion!$B$2)="ON",ROUND(C94*(1-Configuracion!$B$3),0),ROUND(C94,0))</f>
        <v/>
      </c>
    </row>
    <row r="95" ht="12.9" customHeight="1">
      <c r="A95" s="2" t="n">
        <v>94</v>
      </c>
      <c r="B95" s="2" t="inlineStr">
        <is>
          <t>Pendientes lazo con perlas - Modelo 5</t>
        </is>
      </c>
      <c r="C95" s="3" t="n">
        <v>20</v>
      </c>
      <c r="D95" s="2" t="inlineStr">
        <is>
          <t>94.jpg</t>
        </is>
      </c>
      <c r="E95" s="2" t="inlineStr">
        <is>
          <t>Pendientes de lazo con circonitas y perlas, delicados y femeninos.</t>
        </is>
      </c>
      <c r="F95" s="2" t="inlineStr">
        <is>
          <t>Aretes</t>
        </is>
      </c>
      <c r="G95" s="2" t="n">
        <v>10</v>
      </c>
      <c r="H95" s="2">
        <f>Configuracion!$B$2</f>
        <v/>
      </c>
      <c r="I95" s="4">
        <f>Configuracion!$B$3</f>
        <v/>
      </c>
      <c r="J95" s="2">
        <f>IF(UPPER(Configuracion!$B$2)="ON",Configuracion!$B$4,"")</f>
        <v/>
      </c>
      <c r="K95" s="3">
        <f>IF(UPPER(Configuracion!$B$2)="ON",ROUND(C95*(1-Configuracion!$B$3),0),ROUND(C95,0))</f>
        <v/>
      </c>
    </row>
    <row r="96" ht="12.9" customHeight="1">
      <c r="A96" s="2" t="n">
        <v>95</v>
      </c>
      <c r="B96" s="2" t="inlineStr">
        <is>
          <t>Pendientes de perlas - Modelo 6</t>
        </is>
      </c>
      <c r="C96" s="3" t="n">
        <v>20</v>
      </c>
      <c r="D96" s="2" t="inlineStr">
        <is>
          <t>95.jpg</t>
        </is>
      </c>
      <c r="E96" s="2" t="inlineStr">
        <is>
          <t>Pendientes de lazo con circonitas y perlas, delicados y femeninos.</t>
        </is>
      </c>
      <c r="F96" s="2" t="inlineStr">
        <is>
          <t>Aretes</t>
        </is>
      </c>
      <c r="G96" s="2" t="n">
        <v>10</v>
      </c>
      <c r="H96" s="2">
        <f>Configuracion!$B$2</f>
        <v/>
      </c>
      <c r="I96" s="4">
        <f>Configuracion!$B$3</f>
        <v/>
      </c>
      <c r="J96" s="2">
        <f>IF(UPPER(Configuracion!$B$2)="ON",Configuracion!$B$4,"")</f>
        <v/>
      </c>
      <c r="K96" s="3">
        <f>IF(UPPER(Configuracion!$B$2)="ON",ROUND(C96*(1-Configuracion!$B$3),0),ROUND(C96,0))</f>
        <v/>
      </c>
    </row>
    <row r="97" ht="12.9" customHeight="1">
      <c r="A97" s="2" t="n">
        <v>96</v>
      </c>
      <c r="B97" s="2" t="inlineStr">
        <is>
          <t>Pendientes estrella fugaz - Modelo 7</t>
        </is>
      </c>
      <c r="C97" s="3" t="n">
        <v>25</v>
      </c>
      <c r="D97" s="2" t="inlineStr">
        <is>
          <t>96.jpg</t>
        </is>
      </c>
      <c r="E97" s="2" t="inlineStr">
        <is>
          <t>Pendientes de lazo con circonitas y perlas, delicados y femeninos.</t>
        </is>
      </c>
      <c r="F97" s="2" t="inlineStr">
        <is>
          <t>Aretes</t>
        </is>
      </c>
      <c r="G97" s="2" t="n">
        <v>10</v>
      </c>
      <c r="H97" s="2">
        <f>Configuracion!$B$2</f>
        <v/>
      </c>
      <c r="I97" s="4">
        <f>Configuracion!$B$3</f>
        <v/>
      </c>
      <c r="J97" s="2">
        <f>IF(UPPER(Configuracion!$B$2)="ON",Configuracion!$B$4,"")</f>
        <v/>
      </c>
      <c r="K97" s="3">
        <f>IF(UPPER(Configuracion!$B$2)="ON",ROUND(C97*(1-Configuracion!$B$3),0),ROUND(C97,0))</f>
        <v/>
      </c>
    </row>
    <row r="98" ht="12.9" customHeight="1">
      <c r="A98" s="2" t="n">
        <v>97</v>
      </c>
      <c r="B98" s="2" t="inlineStr">
        <is>
          <t>Pendientes lazo con perlas - Modelo 8</t>
        </is>
      </c>
      <c r="C98" s="3" t="n">
        <v>20</v>
      </c>
      <c r="D98" s="2" t="inlineStr">
        <is>
          <t>97.jpg</t>
        </is>
      </c>
      <c r="E98" s="2" t="inlineStr">
        <is>
          <t>Pendientes de lazo con circonitas y perlas, delicados y femeninos.</t>
        </is>
      </c>
      <c r="F98" s="2" t="inlineStr">
        <is>
          <t>Aretes</t>
        </is>
      </c>
      <c r="G98" s="2" t="n">
        <v>10</v>
      </c>
      <c r="H98" s="2">
        <f>Configuracion!$B$2</f>
        <v/>
      </c>
      <c r="I98" s="4">
        <f>Configuracion!$B$3</f>
        <v/>
      </c>
      <c r="J98" s="2">
        <f>IF(UPPER(Configuracion!$B$2)="ON",Configuracion!$B$4,"")</f>
        <v/>
      </c>
      <c r="K98" s="3">
        <f>IF(UPPER(Configuracion!$B$2)="ON",ROUND(C98*(1-Configuracion!$B$3),0),ROUND(C98,0))</f>
        <v/>
      </c>
    </row>
    <row r="99" ht="12.9" customHeight="1">
      <c r="A99" s="2" t="n">
        <v>98</v>
      </c>
      <c r="B99" s="2" t="inlineStr">
        <is>
          <t>Pendientes planeta blanco - Modelo 9</t>
        </is>
      </c>
      <c r="C99" s="3" t="n">
        <v>20</v>
      </c>
      <c r="D99" s="2" t="inlineStr">
        <is>
          <t>98.jpg</t>
        </is>
      </c>
      <c r="E99" s="2" t="inlineStr">
        <is>
          <t>Pendientes de lazo con circonitas y perlas, delicados y femeninos.</t>
        </is>
      </c>
      <c r="F99" s="2" t="inlineStr">
        <is>
          <t>Aretes</t>
        </is>
      </c>
      <c r="G99" s="2" t="n">
        <v>10</v>
      </c>
      <c r="H99" s="2">
        <f>Configuracion!$B$2</f>
        <v/>
      </c>
      <c r="I99" s="4">
        <f>Configuracion!$B$3</f>
        <v/>
      </c>
      <c r="J99" s="2">
        <f>IF(UPPER(Configuracion!$B$2)="ON",Configuracion!$B$4,"")</f>
        <v/>
      </c>
      <c r="K99" s="3">
        <f>IF(UPPER(Configuracion!$B$2)="ON",ROUND(C99*(1-Configuracion!$B$3),0),ROUND(C99,0))</f>
        <v/>
      </c>
    </row>
    <row r="100" ht="12.9" customHeight="1">
      <c r="A100" s="2" t="n">
        <v>99</v>
      </c>
      <c r="B100" s="2" t="inlineStr">
        <is>
          <t>Pendientes de mariposa con perlas - Modelo 10</t>
        </is>
      </c>
      <c r="C100" s="3" t="n">
        <v>20</v>
      </c>
      <c r="D100" s="2" t="inlineStr">
        <is>
          <t>99.jpg</t>
        </is>
      </c>
      <c r="E100" s="2" t="inlineStr">
        <is>
          <t>Pendientes de lazo con circonitas y perlas, delicados y femeninos.</t>
        </is>
      </c>
      <c r="F100" s="2" t="inlineStr">
        <is>
          <t>Aretes</t>
        </is>
      </c>
      <c r="G100" s="2" t="n">
        <v>10</v>
      </c>
      <c r="H100" s="2">
        <f>Configuracion!$B$2</f>
        <v/>
      </c>
      <c r="I100" s="4">
        <f>Configuracion!$B$3</f>
        <v/>
      </c>
      <c r="J100" s="2">
        <f>IF(UPPER(Configuracion!$B$2)="ON",Configuracion!$B$4,"")</f>
        <v/>
      </c>
      <c r="K100" s="3">
        <f>IF(UPPER(Configuracion!$B$2)="ON",ROUND(C100*(1-Configuracion!$B$3),0),ROUND(C100,0))</f>
        <v/>
      </c>
    </row>
    <row r="101" ht="12.9" customHeight="1">
      <c r="A101" s="2" t="n">
        <v>100</v>
      </c>
      <c r="B101" s="2" t="inlineStr">
        <is>
          <t>Pendientes lazo con perlas - Modelo 11</t>
        </is>
      </c>
      <c r="C101" s="3" t="n">
        <v>25</v>
      </c>
      <c r="D101" s="2" t="inlineStr">
        <is>
          <t>100.jpg</t>
        </is>
      </c>
      <c r="E101" s="2" t="inlineStr">
        <is>
          <t>Pendientes de lazo con circonitas y perlas, delicados y femeninos.</t>
        </is>
      </c>
      <c r="F101" s="2" t="inlineStr">
        <is>
          <t>Aretes</t>
        </is>
      </c>
      <c r="G101" s="2" t="n">
        <v>10</v>
      </c>
      <c r="H101" s="2">
        <f>Configuracion!$B$2</f>
        <v/>
      </c>
      <c r="I101" s="4">
        <f>Configuracion!$B$3</f>
        <v/>
      </c>
      <c r="J101" s="2">
        <f>IF(UPPER(Configuracion!$B$2)="ON",Configuracion!$B$4,"")</f>
        <v/>
      </c>
      <c r="K101" s="3">
        <f>IF(UPPER(Configuracion!$B$2)="ON",ROUND(C101*(1-Configuracion!$B$3),0),ROUND(C101,0))</f>
        <v/>
      </c>
    </row>
    <row r="102" ht="12.9" customHeight="1">
      <c r="A102" s="2" t="n">
        <v>101</v>
      </c>
      <c r="B102" s="2" t="inlineStr">
        <is>
          <t>Pendientes flores de cristal - Modelo 12</t>
        </is>
      </c>
      <c r="C102" s="3" t="n">
        <v>20</v>
      </c>
      <c r="D102" s="2" t="inlineStr">
        <is>
          <t>101.jpg</t>
        </is>
      </c>
      <c r="E102" s="2" t="inlineStr">
        <is>
          <t>Pendientes de lazo con circonitas y perlas, delicados y femeninos.</t>
        </is>
      </c>
      <c r="F102" s="2" t="inlineStr">
        <is>
          <t>Aretes</t>
        </is>
      </c>
      <c r="G102" s="2" t="n">
        <v>10</v>
      </c>
      <c r="H102" s="2">
        <f>Configuracion!$B$2</f>
        <v/>
      </c>
      <c r="I102" s="4">
        <f>Configuracion!$B$3</f>
        <v/>
      </c>
      <c r="J102" s="2">
        <f>IF(UPPER(Configuracion!$B$2)="ON",Configuracion!$B$4,"")</f>
        <v/>
      </c>
      <c r="K102" s="3">
        <f>IF(UPPER(Configuracion!$B$2)="ON",ROUND(C102*(1-Configuracion!$B$3),0),ROUND(C102,0))</f>
        <v/>
      </c>
    </row>
    <row r="103">
      <c r="A103" s="2" t="n">
        <v>102</v>
      </c>
      <c r="B103" s="2" t="inlineStr">
        <is>
          <t>Collar de titanio - Modelo 1</t>
        </is>
      </c>
      <c r="C103" s="3" t="n">
        <v>80</v>
      </c>
      <c r="D103" s="2" t="inlineStr">
        <is>
          <t>102.jpg</t>
        </is>
      </c>
      <c r="E103" s="2" t="inlineStr">
        <is>
          <t>Collar minimalista de titanio, resistente y fácil de combinar.</t>
        </is>
      </c>
      <c r="F103" s="2" t="inlineStr">
        <is>
          <t>Collares</t>
        </is>
      </c>
      <c r="G103" s="2" t="n">
        <v>5</v>
      </c>
      <c r="H103" s="2">
        <f>Configuracion!$B$2</f>
        <v/>
      </c>
      <c r="I103" s="4">
        <f>Configuracion!$B$3</f>
        <v/>
      </c>
      <c r="J103" s="2">
        <f>IF(UPPER(Configuracion!$B$2)="ON",Configuracion!$B$4,"")</f>
        <v/>
      </c>
      <c r="K103" s="3">
        <f>IF(UPPER(Configuracion!$B$2)="ON",ROUND(C103*(1-Configuracion!$B$3),0),ROUND(C103,0))</f>
        <v/>
      </c>
    </row>
    <row r="104">
      <c r="A104" s="2" t="n">
        <v>103</v>
      </c>
      <c r="B104" s="2" t="inlineStr">
        <is>
          <t>Collar de media luna - Modelo 2</t>
        </is>
      </c>
      <c r="C104" s="3" t="n">
        <v>75</v>
      </c>
      <c r="D104" s="2" t="inlineStr">
        <is>
          <t>103.jpg</t>
        </is>
      </c>
      <c r="E104" s="2" t="inlineStr">
        <is>
          <t>Collar minimalista de titanio, resistente y fácil de combinar.</t>
        </is>
      </c>
      <c r="F104" s="2" t="inlineStr">
        <is>
          <t>Collares</t>
        </is>
      </c>
      <c r="G104" s="2" t="n">
        <v>5</v>
      </c>
      <c r="H104" s="2">
        <f>Configuracion!$B$2</f>
        <v/>
      </c>
      <c r="I104" s="4">
        <f>Configuracion!$B$3</f>
        <v/>
      </c>
      <c r="J104" s="2">
        <f>IF(UPPER(Configuracion!$B$2)="ON",Configuracion!$B$4,"")</f>
        <v/>
      </c>
      <c r="K104" s="3">
        <f>IF(UPPER(Configuracion!$B$2)="ON",ROUND(C104*(1-Configuracion!$B$3),0),ROUND(C104,0))</f>
        <v/>
      </c>
    </row>
    <row r="105">
      <c r="A105" s="2" t="n">
        <v>104</v>
      </c>
      <c r="B105" s="2" t="inlineStr">
        <is>
          <t>Collar de titanio - Modelo 3</t>
        </is>
      </c>
      <c r="C105" s="3" t="n">
        <v>75</v>
      </c>
      <c r="D105" s="2" t="inlineStr">
        <is>
          <t>104.jpg</t>
        </is>
      </c>
      <c r="E105" s="2" t="inlineStr">
        <is>
          <t>Collar minimalista de titanio, resistente y fácil de combinar.</t>
        </is>
      </c>
      <c r="F105" s="2" t="inlineStr">
        <is>
          <t>Collares</t>
        </is>
      </c>
      <c r="G105" s="2" t="n">
        <v>5</v>
      </c>
      <c r="H105" s="2">
        <f>Configuracion!$B$2</f>
        <v/>
      </c>
      <c r="I105" s="4">
        <f>Configuracion!$B$3</f>
        <v/>
      </c>
      <c r="J105" s="2">
        <f>IF(UPPER(Configuracion!$B$2)="ON",Configuracion!$B$4,"")</f>
        <v/>
      </c>
      <c r="K105" s="3">
        <f>IF(UPPER(Configuracion!$B$2)="ON",ROUND(C105*(1-Configuracion!$B$3),0),ROUND(C105,0))</f>
        <v/>
      </c>
    </row>
    <row r="106">
      <c r="A106" s="2" t="n">
        <v>105</v>
      </c>
      <c r="B106" s="2" t="inlineStr">
        <is>
          <t>Pendientes girasol dorado - Modelo 1</t>
        </is>
      </c>
      <c r="C106" s="3" t="n">
        <v>50</v>
      </c>
      <c r="D106" s="2" t="inlineStr">
        <is>
          <t>105.jpg</t>
        </is>
      </c>
      <c r="E106" s="2" t="inlineStr">
        <is>
          <t>Pendientes dorados con diseño de girasol y aire sofisticado.</t>
        </is>
      </c>
      <c r="F106" s="2" t="inlineStr">
        <is>
          <t>Aretes</t>
        </is>
      </c>
      <c r="G106" s="2" t="n">
        <v>10</v>
      </c>
      <c r="H106" s="2">
        <f>Configuracion!$B$2</f>
        <v/>
      </c>
      <c r="I106" s="4">
        <f>Configuracion!$B$3</f>
        <v/>
      </c>
      <c r="J106" s="2">
        <f>IF(UPPER(Configuracion!$B$2)="ON",Configuracion!$B$4,"")</f>
        <v/>
      </c>
      <c r="K106" s="3">
        <f>IF(UPPER(Configuracion!$B$2)="ON",ROUND(C106*(1-Configuracion!$B$3),0),ROUND(C106,0))</f>
        <v/>
      </c>
    </row>
    <row r="107">
      <c r="A107" s="2" t="n">
        <v>106</v>
      </c>
      <c r="B107" s="2" t="inlineStr">
        <is>
          <t>Pendientes girasol dorado - Modelo 2</t>
        </is>
      </c>
      <c r="C107" s="3" t="n">
        <v>50</v>
      </c>
      <c r="D107" s="2" t="inlineStr">
        <is>
          <t>106.jpg</t>
        </is>
      </c>
      <c r="E107" s="2" t="inlineStr">
        <is>
          <t>Pendientes dorados con diseño de girasol y aire sofisticado.</t>
        </is>
      </c>
      <c r="F107" s="2" t="inlineStr">
        <is>
          <t>Aretes</t>
        </is>
      </c>
      <c r="G107" s="2" t="n">
        <v>10</v>
      </c>
      <c r="H107" s="2">
        <f>Configuracion!$B$2</f>
        <v/>
      </c>
      <c r="I107" s="4">
        <f>Configuracion!$B$3</f>
        <v/>
      </c>
      <c r="J107" s="2">
        <f>IF(UPPER(Configuracion!$B$2)="ON",Configuracion!$B$4,"")</f>
        <v/>
      </c>
      <c r="K107" s="3">
        <f>IF(UPPER(Configuracion!$B$2)="ON",ROUND(C107*(1-Configuracion!$B$3),0),ROUND(C107,0))</f>
        <v/>
      </c>
    </row>
    <row r="108">
      <c r="A108" s="2" t="n">
        <v>107</v>
      </c>
      <c r="B108" s="2" t="inlineStr">
        <is>
          <t>Pendientes girasol dorado - Modelo 3</t>
        </is>
      </c>
      <c r="C108" s="3" t="n">
        <v>50</v>
      </c>
      <c r="D108" s="2" t="inlineStr">
        <is>
          <t>107.jpg</t>
        </is>
      </c>
      <c r="E108" s="2" t="inlineStr">
        <is>
          <t>Pendientes dorados con diseño de girasol y aire sofisticado.</t>
        </is>
      </c>
      <c r="F108" s="2" t="inlineStr">
        <is>
          <t>Aretes</t>
        </is>
      </c>
      <c r="G108" s="2" t="n">
        <v>10</v>
      </c>
      <c r="H108" s="2">
        <f>Configuracion!$B$2</f>
        <v/>
      </c>
      <c r="I108" s="4">
        <f>Configuracion!$B$3</f>
        <v/>
      </c>
      <c r="J108" s="2">
        <f>IF(UPPER(Configuracion!$B$2)="ON",Configuracion!$B$4,"")</f>
        <v/>
      </c>
      <c r="K108" s="3">
        <f>IF(UPPER(Configuracion!$B$2)="ON",ROUND(C108*(1-Configuracion!$B$3),0),ROUND(C108,0))</f>
        <v/>
      </c>
    </row>
    <row r="109">
      <c r="A109" s="2" t="n">
        <v>108</v>
      </c>
      <c r="B109" s="2" t="inlineStr">
        <is>
          <t>Pendientes girasol dorado - Modelo 4</t>
        </is>
      </c>
      <c r="C109" s="3" t="n">
        <v>50</v>
      </c>
      <c r="D109" s="2" t="inlineStr">
        <is>
          <t>108.jpg</t>
        </is>
      </c>
      <c r="E109" s="2" t="inlineStr">
        <is>
          <t>Pendientes dorados con diseño de girasol y aire sofisticado.</t>
        </is>
      </c>
      <c r="F109" s="2" t="inlineStr">
        <is>
          <t>Aretes</t>
        </is>
      </c>
      <c r="G109" s="2" t="n">
        <v>10</v>
      </c>
      <c r="H109" s="2">
        <f>Configuracion!$B$2</f>
        <v/>
      </c>
      <c r="I109" s="4">
        <f>Configuracion!$B$3</f>
        <v/>
      </c>
      <c r="J109" s="2">
        <f>IF(UPPER(Configuracion!$B$2)="ON",Configuracion!$B$4,"")</f>
        <v/>
      </c>
      <c r="K109" s="3">
        <f>IF(UPPER(Configuracion!$B$2)="ON",ROUND(C109*(1-Configuracion!$B$3),0),ROUND(C109,0))</f>
        <v/>
      </c>
    </row>
    <row r="110">
      <c r="A110" s="2" t="n">
        <v>109</v>
      </c>
      <c r="B110" s="2" t="inlineStr">
        <is>
          <t>Pendientes flor - Modelo 5</t>
        </is>
      </c>
      <c r="C110" s="3" t="n">
        <v>50</v>
      </c>
      <c r="D110" s="2" t="inlineStr">
        <is>
          <t>109.jpg</t>
        </is>
      </c>
      <c r="E110" s="2" t="inlineStr">
        <is>
          <t>Pendientes dorados con diseño de girasol y aire sofisticado.</t>
        </is>
      </c>
      <c r="F110" s="2" t="inlineStr">
        <is>
          <t>Aretes</t>
        </is>
      </c>
      <c r="G110" s="2" t="n">
        <v>10</v>
      </c>
      <c r="H110" s="2">
        <f>Configuracion!$B$2</f>
        <v/>
      </c>
      <c r="I110" s="4">
        <f>Configuracion!$B$3</f>
        <v/>
      </c>
      <c r="J110" s="2">
        <f>IF(UPPER(Configuracion!$B$2)="ON",Configuracion!$B$4,"")</f>
        <v/>
      </c>
      <c r="K110" s="3">
        <f>IF(UPPER(Configuracion!$B$2)="ON",ROUND(C110*(1-Configuracion!$B$3),0),ROUND(C110,0))</f>
        <v/>
      </c>
    </row>
    <row r="111">
      <c r="A111" s="2" t="n">
        <v>110</v>
      </c>
      <c r="B111" s="2" t="inlineStr">
        <is>
          <t>Pendientes rosa de tela</t>
        </is>
      </c>
      <c r="C111" s="3" t="n">
        <v>35</v>
      </c>
      <c r="D111" s="2" t="inlineStr">
        <is>
          <t>110.jpg</t>
        </is>
      </c>
      <c r="E111" s="2" t="inlineStr">
        <is>
          <t>Pendientes con rosa de tela y estilo romántico.</t>
        </is>
      </c>
      <c r="F111" s="2" t="inlineStr">
        <is>
          <t>Aretes</t>
        </is>
      </c>
      <c r="G111" s="2" t="n">
        <v>12</v>
      </c>
      <c r="H111" s="2">
        <f>Configuracion!$B$2</f>
        <v/>
      </c>
      <c r="I111" s="4">
        <f>Configuracion!$B$3</f>
        <v/>
      </c>
      <c r="J111" s="2">
        <f>IF(UPPER(Configuracion!$B$2)="ON",Configuracion!$B$4,"")</f>
        <v/>
      </c>
      <c r="K111" s="3">
        <f>IF(UPPER(Configuracion!$B$2)="ON",ROUND(C111*(1-Configuracion!$B$3),0),ROUND(C111,0))</f>
        <v/>
      </c>
    </row>
    <row r="112">
      <c r="A112" s="2" t="n">
        <v>111</v>
      </c>
      <c r="B112" s="2" t="inlineStr">
        <is>
          <t>Pulsera de cristales azules - Modelo 1</t>
        </is>
      </c>
      <c r="C112" s="3" t="n">
        <v>30</v>
      </c>
      <c r="D112" s="2" t="inlineStr">
        <is>
          <t>111.jpg</t>
        </is>
      </c>
      <c r="E112" s="2" t="inlineStr">
        <is>
          <t>Pulsera delicada con flor de cuatro pétalos y circonitas.</t>
        </is>
      </c>
      <c r="F112" s="2" t="inlineStr">
        <is>
          <t>Pulseras</t>
        </is>
      </c>
      <c r="G112" s="2" t="n">
        <v>5</v>
      </c>
      <c r="H112" s="2">
        <f>Configuracion!$B$2</f>
        <v/>
      </c>
      <c r="I112" s="4">
        <f>Configuracion!$B$3</f>
        <v/>
      </c>
      <c r="J112" s="2">
        <f>IF(UPPER(Configuracion!$B$2)="ON",Configuracion!$B$4,"")</f>
        <v/>
      </c>
      <c r="K112" s="3">
        <f>IF(UPPER(Configuracion!$B$2)="ON",ROUND(C112*(1-Configuracion!$B$3),0),ROUND(C112,0))</f>
        <v/>
      </c>
    </row>
    <row r="113">
      <c r="A113" s="2" t="n">
        <v>112</v>
      </c>
      <c r="B113" s="2" t="inlineStr">
        <is>
          <t>Pulsera de cristal - Modelo 2</t>
        </is>
      </c>
      <c r="C113" s="3" t="n">
        <v>35</v>
      </c>
      <c r="D113" s="2" t="inlineStr">
        <is>
          <t>112.jpg</t>
        </is>
      </c>
      <c r="E113" s="2" t="inlineStr">
        <is>
          <t>Pulsera delicada con flor de cuatro pétalos y circonitas.</t>
        </is>
      </c>
      <c r="F113" s="2" t="inlineStr">
        <is>
          <t>Pulseras</t>
        </is>
      </c>
      <c r="G113" s="2" t="n">
        <v>5</v>
      </c>
      <c r="H113" s="2">
        <f>Configuracion!$B$2</f>
        <v/>
      </c>
      <c r="I113" s="4">
        <f>Configuracion!$B$3</f>
        <v/>
      </c>
      <c r="J113" s="2">
        <f>IF(UPPER(Configuracion!$B$2)="ON",Configuracion!$B$4,"")</f>
        <v/>
      </c>
      <c r="K113" s="3">
        <f>IF(UPPER(Configuracion!$B$2)="ON",ROUND(C113*(1-Configuracion!$B$3),0),ROUND(C113,0))</f>
        <v/>
      </c>
    </row>
    <row r="114">
      <c r="A114" s="2" t="n">
        <v>113</v>
      </c>
      <c r="B114" s="2" t="inlineStr">
        <is>
          <t>Pulsera flor de cuatro pétalos - Modelo 3</t>
        </is>
      </c>
      <c r="C114" s="3" t="n">
        <v>45</v>
      </c>
      <c r="D114" s="2" t="inlineStr">
        <is>
          <t>113.jpg</t>
        </is>
      </c>
      <c r="E114" s="2" t="inlineStr">
        <is>
          <t>Pulsera delicada con flor de cuatro pétalos y circonitas.</t>
        </is>
      </c>
      <c r="F114" s="2" t="inlineStr">
        <is>
          <t>Pulseras</t>
        </is>
      </c>
      <c r="G114" s="2" t="n">
        <v>5</v>
      </c>
      <c r="H114" s="2">
        <f>Configuracion!$B$2</f>
        <v/>
      </c>
      <c r="I114" s="4">
        <f>Configuracion!$B$3</f>
        <v/>
      </c>
      <c r="J114" s="2">
        <f>IF(UPPER(Configuracion!$B$2)="ON",Configuracion!$B$4,"")</f>
        <v/>
      </c>
      <c r="K114" s="3">
        <f>IF(UPPER(Configuracion!$B$2)="ON",ROUND(C114*(1-Configuracion!$B$3),0),ROUND(C114,0))</f>
        <v/>
      </c>
    </row>
    <row r="115">
      <c r="A115" s="2" t="n">
        <v>114</v>
      </c>
      <c r="B115" s="2" t="inlineStr">
        <is>
          <t>Pulsera de cristales - Modelo 4</t>
        </is>
      </c>
      <c r="C115" s="3" t="n">
        <v>30</v>
      </c>
      <c r="D115" s="2" t="inlineStr">
        <is>
          <t>114.jpg</t>
        </is>
      </c>
      <c r="E115" s="2" t="inlineStr">
        <is>
          <t>Pulsera delicada con flor de cuatro pétalos y circonitas.</t>
        </is>
      </c>
      <c r="F115" s="2" t="inlineStr">
        <is>
          <t>Pulseras</t>
        </is>
      </c>
      <c r="G115" s="2" t="n">
        <v>5</v>
      </c>
      <c r="H115" s="2">
        <f>Configuracion!$B$2</f>
        <v/>
      </c>
      <c r="I115" s="4">
        <f>Configuracion!$B$3</f>
        <v/>
      </c>
      <c r="J115" s="2">
        <f>IF(UPPER(Configuracion!$B$2)="ON",Configuracion!$B$4,"")</f>
        <v/>
      </c>
      <c r="K115" s="3">
        <f>IF(UPPER(Configuracion!$B$2)="ON",ROUND(C115*(1-Configuracion!$B$3),0),ROUND(C115,0))</f>
        <v/>
      </c>
    </row>
    <row r="116">
      <c r="A116" s="2" t="n">
        <v>115</v>
      </c>
      <c r="B116" s="2" t="inlineStr">
        <is>
          <t>Pendientes clip azul</t>
        </is>
      </c>
      <c r="C116" s="3" t="n">
        <v>25</v>
      </c>
      <c r="D116" s="2" t="inlineStr">
        <is>
          <t>115.jpg</t>
        </is>
      </c>
      <c r="E116" s="2" t="inlineStr">
        <is>
          <t>Pendientes clip geométricos en tono azul.</t>
        </is>
      </c>
      <c r="F116" s="2" t="inlineStr">
        <is>
          <t>Aretes</t>
        </is>
      </c>
      <c r="G116" s="2" t="n">
        <v>11</v>
      </c>
      <c r="H116" s="2">
        <f>Configuracion!$B$2</f>
        <v/>
      </c>
      <c r="I116" s="4">
        <f>Configuracion!$B$3</f>
        <v/>
      </c>
      <c r="J116" s="2">
        <f>IF(UPPER(Configuracion!$B$2)="ON",Configuracion!$B$4,"")</f>
        <v/>
      </c>
      <c r="K116" s="3">
        <f>IF(UPPER(Configuracion!$B$2)="ON",ROUND(C116*(1-Configuracion!$B$3),0),ROUND(C116,0))</f>
        <v/>
      </c>
    </row>
    <row r="117" ht="12.9" customHeight="1">
      <c r="A117" s="2" t="n">
        <v>116</v>
      </c>
      <c r="B117" s="2" t="inlineStr">
        <is>
          <t>Pendientes de cristal verde - Modelo 1</t>
        </is>
      </c>
      <c r="C117" s="3" t="n">
        <v>40</v>
      </c>
      <c r="D117" s="2" t="inlineStr">
        <is>
          <t>116.jpg</t>
        </is>
      </c>
      <c r="E117" s="2" t="inlineStr">
        <is>
          <t>Pendientes con borlas y estilo alegre, ideales para looks llamativos.</t>
        </is>
      </c>
      <c r="F117" s="2" t="inlineStr">
        <is>
          <t>Aretes</t>
        </is>
      </c>
      <c r="G117" s="2" t="n">
        <v>5</v>
      </c>
      <c r="H117" s="2">
        <f>Configuracion!$B$2</f>
        <v/>
      </c>
      <c r="I117" s="4">
        <f>Configuracion!$B$3</f>
        <v/>
      </c>
      <c r="J117" s="2">
        <f>IF(UPPER(Configuracion!$B$2)="ON",Configuracion!$B$4,"")</f>
        <v/>
      </c>
      <c r="K117" s="3">
        <f>IF(UPPER(Configuracion!$B$2)="ON",ROUND(C117*(1-Configuracion!$B$3),0),ROUND(C117,0))</f>
        <v/>
      </c>
    </row>
    <row r="118" ht="12.9" customHeight="1">
      <c r="A118" s="2" t="n">
        <v>117</v>
      </c>
      <c r="B118" s="2" t="inlineStr">
        <is>
          <t>Pendientes fresaas y corazones - Modelo 2</t>
        </is>
      </c>
      <c r="C118" s="3" t="n">
        <v>40</v>
      </c>
      <c r="D118" s="2" t="inlineStr">
        <is>
          <t>117.jpg</t>
        </is>
      </c>
      <c r="E118" s="2" t="inlineStr">
        <is>
          <t>Pendientes con borlas y estilo alegre, ideales para looks llamativos.</t>
        </is>
      </c>
      <c r="F118" s="2" t="inlineStr">
        <is>
          <t>Aretes</t>
        </is>
      </c>
      <c r="G118" s="2" t="n">
        <v>5</v>
      </c>
      <c r="H118" s="2">
        <f>Configuracion!$B$2</f>
        <v/>
      </c>
      <c r="I118" s="4">
        <f>Configuracion!$B$3</f>
        <v/>
      </c>
      <c r="J118" s="2">
        <f>IF(UPPER(Configuracion!$B$2)="ON",Configuracion!$B$4,"")</f>
        <v/>
      </c>
      <c r="K118" s="3">
        <f>IF(UPPER(Configuracion!$B$2)="ON",ROUND(C118*(1-Configuracion!$B$3),0),ROUND(C118,0))</f>
        <v/>
      </c>
    </row>
    <row r="119" ht="12.9" customHeight="1">
      <c r="A119" s="2" t="n">
        <v>118</v>
      </c>
      <c r="B119" s="2" t="inlineStr">
        <is>
          <t>Pendientes de corazones y piedras - Modelo 3</t>
        </is>
      </c>
      <c r="C119" s="3" t="n">
        <v>45</v>
      </c>
      <c r="D119" s="2" t="inlineStr">
        <is>
          <t>118.jpg</t>
        </is>
      </c>
      <c r="E119" s="2" t="inlineStr">
        <is>
          <t>Pendientes con borlas y estilo alegre, ideales para looks llamativos.</t>
        </is>
      </c>
      <c r="F119" s="2" t="inlineStr">
        <is>
          <t>Aretes</t>
        </is>
      </c>
      <c r="G119" s="2" t="n">
        <v>5</v>
      </c>
      <c r="H119" s="2">
        <f>Configuracion!$B$2</f>
        <v/>
      </c>
      <c r="I119" s="4">
        <f>Configuracion!$B$3</f>
        <v/>
      </c>
      <c r="J119" s="2">
        <f>IF(UPPER(Configuracion!$B$2)="ON",Configuracion!$B$4,"")</f>
        <v/>
      </c>
      <c r="K119" s="3">
        <f>IF(UPPER(Configuracion!$B$2)="ON",ROUND(C119*(1-Configuracion!$B$3),0),ROUND(C119,0))</f>
        <v/>
      </c>
    </row>
    <row r="120">
      <c r="A120" s="2" t="n">
        <v>119</v>
      </c>
      <c r="B120" s="2" t="inlineStr">
        <is>
          <t>Pendientes de retrato vintage - Modelo 1</t>
        </is>
      </c>
      <c r="C120" s="3" t="n">
        <v>30</v>
      </c>
      <c r="D120" s="2" t="inlineStr">
        <is>
          <t>119.jpg</t>
        </is>
      </c>
      <c r="E120" s="2" t="inlineStr">
        <is>
          <t>Pendientes con perlas y flores de estilo romántico.</t>
        </is>
      </c>
      <c r="F120" s="2" t="inlineStr">
        <is>
          <t>Aretes</t>
        </is>
      </c>
      <c r="G120" s="2" t="n">
        <v>5</v>
      </c>
      <c r="H120" s="2">
        <f>Configuracion!$B$2</f>
        <v/>
      </c>
      <c r="I120" s="4">
        <f>Configuracion!$B$3</f>
        <v/>
      </c>
      <c r="J120" s="2">
        <f>IF(UPPER(Configuracion!$B$2)="ON",Configuracion!$B$4,"")</f>
        <v/>
      </c>
      <c r="K120" s="3">
        <f>IF(UPPER(Configuracion!$B$2)="ON",ROUND(C120*(1-Configuracion!$B$3),0),ROUND(C120,0))</f>
        <v/>
      </c>
    </row>
    <row r="121">
      <c r="A121" s="2" t="n">
        <v>120</v>
      </c>
      <c r="B121" s="2" t="inlineStr">
        <is>
          <t>Pendientes de rosas blancas - Modelo 2</t>
        </is>
      </c>
      <c r="C121" s="3" t="n">
        <v>35</v>
      </c>
      <c r="D121" s="2" t="inlineStr">
        <is>
          <t>120.jpg</t>
        </is>
      </c>
      <c r="E121" s="2" t="inlineStr">
        <is>
          <t>Pendientes con perlas y flores de estilo romántico.</t>
        </is>
      </c>
      <c r="F121" s="2" t="inlineStr">
        <is>
          <t>Aretes</t>
        </is>
      </c>
      <c r="G121" s="2" t="n">
        <v>5</v>
      </c>
      <c r="H121" s="2">
        <f>Configuracion!$B$2</f>
        <v/>
      </c>
      <c r="I121" s="4">
        <f>Configuracion!$B$3</f>
        <v/>
      </c>
      <c r="J121" s="2">
        <f>IF(UPPER(Configuracion!$B$2)="ON",Configuracion!$B$4,"")</f>
        <v/>
      </c>
      <c r="K121" s="3">
        <f>IF(UPPER(Configuracion!$B$2)="ON",ROUND(C121*(1-Configuracion!$B$3),0),ROUND(C121,0))</f>
        <v/>
      </c>
    </row>
    <row r="122">
      <c r="A122" s="2" t="n">
        <v>121</v>
      </c>
      <c r="B122" s="2" t="inlineStr">
        <is>
          <t>Pendientes blanco esmaltado - Modelo 1</t>
        </is>
      </c>
      <c r="C122" s="3" t="n">
        <v>45</v>
      </c>
      <c r="D122" s="2" t="inlineStr">
        <is>
          <t>121.jpg</t>
        </is>
      </c>
      <c r="E122" s="2" t="inlineStr">
        <is>
          <t>Pendientes de corazón esmaltado con estilo romántico.</t>
        </is>
      </c>
      <c r="F122" s="2" t="inlineStr">
        <is>
          <t>Aretes</t>
        </is>
      </c>
      <c r="G122" s="2" t="n">
        <v>5</v>
      </c>
      <c r="H122" s="2">
        <f>Configuracion!$B$2</f>
        <v/>
      </c>
      <c r="I122" s="4">
        <f>Configuracion!$B$3</f>
        <v/>
      </c>
      <c r="J122" s="2">
        <f>IF(UPPER(Configuracion!$B$2)="ON",Configuracion!$B$4,"")</f>
        <v/>
      </c>
      <c r="K122" s="3">
        <f>IF(UPPER(Configuracion!$B$2)="ON",ROUND(C122*(1-Configuracion!$B$3),0),ROUND(C122,0))</f>
        <v/>
      </c>
    </row>
    <row r="123">
      <c r="A123" s="2" t="n">
        <v>122</v>
      </c>
      <c r="B123" s="2" t="inlineStr">
        <is>
          <t>Pendientes blanco y azul - Modelo 2</t>
        </is>
      </c>
      <c r="C123" s="3" t="n">
        <v>50</v>
      </c>
      <c r="D123" s="2" t="inlineStr">
        <is>
          <t>122.jpg</t>
        </is>
      </c>
      <c r="E123" s="2" t="inlineStr">
        <is>
          <t>Pendientes de corazón esmaltado con estilo romántico.</t>
        </is>
      </c>
      <c r="F123" s="2" t="inlineStr">
        <is>
          <t>Aretes</t>
        </is>
      </c>
      <c r="G123" s="2" t="n">
        <v>5</v>
      </c>
      <c r="H123" s="2">
        <f>Configuracion!$B$2</f>
        <v/>
      </c>
      <c r="I123" s="4">
        <f>Configuracion!$B$3</f>
        <v/>
      </c>
      <c r="J123" s="2">
        <f>IF(UPPER(Configuracion!$B$2)="ON",Configuracion!$B$4,"")</f>
        <v/>
      </c>
      <c r="K123" s="3">
        <f>IF(UPPER(Configuracion!$B$2)="ON",ROUND(C123*(1-Configuracion!$B$3),0),ROUND(C123,0))</f>
        <v/>
      </c>
    </row>
    <row r="124">
      <c r="A124" s="2" t="n">
        <v>123</v>
      </c>
      <c r="B124" s="2" t="inlineStr">
        <is>
          <t>Pendientes azul difuminado - Modelo 3</t>
        </is>
      </c>
      <c r="C124" s="3" t="n">
        <v>45</v>
      </c>
      <c r="D124" s="2" t="inlineStr">
        <is>
          <t>123.jpg</t>
        </is>
      </c>
      <c r="E124" s="2" t="inlineStr">
        <is>
          <t>Pendientes de corazón esmaltado con estilo romántico.</t>
        </is>
      </c>
      <c r="F124" s="2" t="inlineStr">
        <is>
          <t>Aretes</t>
        </is>
      </c>
      <c r="G124" s="2" t="n">
        <v>5</v>
      </c>
      <c r="H124" s="2">
        <f>Configuracion!$B$2</f>
        <v/>
      </c>
      <c r="I124" s="4">
        <f>Configuracion!$B$3</f>
        <v/>
      </c>
      <c r="J124" s="2">
        <f>IF(UPPER(Configuracion!$B$2)="ON",Configuracion!$B$4,"")</f>
        <v/>
      </c>
      <c r="K124" s="3">
        <f>IF(UPPER(Configuracion!$B$2)="ON",ROUND(C124*(1-Configuracion!$B$3),0),ROUND(C124,0))</f>
        <v/>
      </c>
    </row>
    <row r="125">
      <c r="A125" s="2" t="n">
        <v>124</v>
      </c>
      <c r="B125" s="2" t="inlineStr">
        <is>
          <t>Pendientes corazón esmaltado - Modelo 4</t>
        </is>
      </c>
      <c r="C125" s="3" t="n">
        <v>30</v>
      </c>
      <c r="D125" s="2" t="inlineStr">
        <is>
          <t>124.jpg</t>
        </is>
      </c>
      <c r="E125" s="2" t="inlineStr">
        <is>
          <t>Pendientes de corazón esmaltado con estilo romántico.</t>
        </is>
      </c>
      <c r="F125" s="2" t="inlineStr">
        <is>
          <t>Aretes</t>
        </is>
      </c>
      <c r="G125" s="2" t="n">
        <v>5</v>
      </c>
      <c r="H125" s="2">
        <f>Configuracion!$B$2</f>
        <v/>
      </c>
      <c r="I125" s="4">
        <f>Configuracion!$B$3</f>
        <v/>
      </c>
      <c r="J125" s="2">
        <f>IF(UPPER(Configuracion!$B$2)="ON",Configuracion!$B$4,"")</f>
        <v/>
      </c>
      <c r="K125" s="3">
        <f>IF(UPPER(Configuracion!$B$2)="ON",ROUND(C125*(1-Configuracion!$B$3),0),ROUND(C125,0))</f>
        <v/>
      </c>
    </row>
    <row r="126">
      <c r="A126" s="2" t="n">
        <v>125</v>
      </c>
      <c r="B126" s="2" t="inlineStr">
        <is>
          <t>Pendientes rosa esmaltado - Modelo 5</t>
        </is>
      </c>
      <c r="C126" s="3" t="n">
        <v>40</v>
      </c>
      <c r="D126" s="2" t="inlineStr">
        <is>
          <t>125.jpg</t>
        </is>
      </c>
      <c r="E126" s="2" t="inlineStr">
        <is>
          <t>Pendientes de corazón esmaltado con estilo romántico.</t>
        </is>
      </c>
      <c r="F126" s="2" t="inlineStr">
        <is>
          <t>Aretes</t>
        </is>
      </c>
      <c r="G126" s="2" t="n">
        <v>5</v>
      </c>
      <c r="H126" s="2">
        <f>Configuracion!$B$2</f>
        <v/>
      </c>
      <c r="I126" s="4">
        <f>Configuracion!$B$3</f>
        <v/>
      </c>
      <c r="J126" s="2">
        <f>IF(UPPER(Configuracion!$B$2)="ON",Configuracion!$B$4,"")</f>
        <v/>
      </c>
      <c r="K126" s="3">
        <f>IF(UPPER(Configuracion!$B$2)="ON",ROUND(C126*(1-Configuracion!$B$3),0),ROUND(C126,0))</f>
        <v/>
      </c>
    </row>
    <row r="127">
      <c r="A127" s="2" t="n">
        <v>126</v>
      </c>
      <c r="B127" s="2" t="inlineStr">
        <is>
          <t>Pendientes corazón esmaltado - Modelo 6</t>
        </is>
      </c>
      <c r="C127" s="3" t="n">
        <v>30</v>
      </c>
      <c r="D127" s="2" t="inlineStr">
        <is>
          <t>126.jpg</t>
        </is>
      </c>
      <c r="E127" s="2" t="inlineStr">
        <is>
          <t>Pendientes de corazón esmaltado con estilo romántico.</t>
        </is>
      </c>
      <c r="F127" s="2" t="inlineStr">
        <is>
          <t>Aretes</t>
        </is>
      </c>
      <c r="G127" s="2" t="n">
        <v>5</v>
      </c>
      <c r="H127" s="2">
        <f>Configuracion!$B$2</f>
        <v/>
      </c>
      <c r="I127" s="4">
        <f>Configuracion!$B$3</f>
        <v/>
      </c>
      <c r="J127" s="2">
        <f>IF(UPPER(Configuracion!$B$2)="ON",Configuracion!$B$4,"")</f>
        <v/>
      </c>
      <c r="K127" s="3">
        <f>IF(UPPER(Configuracion!$B$2)="ON",ROUND(C127*(1-Configuracion!$B$3),0),ROUND(C127,0))</f>
        <v/>
      </c>
    </row>
    <row r="128">
      <c r="A128" s="2" t="n">
        <v>127</v>
      </c>
      <c r="B128" s="2" t="inlineStr">
        <is>
          <t>Pendientes mariposa esmaltado - Modelo 7</t>
        </is>
      </c>
      <c r="C128" s="3" t="n">
        <v>40</v>
      </c>
      <c r="D128" s="2" t="inlineStr">
        <is>
          <t>127.jpg</t>
        </is>
      </c>
      <c r="E128" s="2" t="inlineStr">
        <is>
          <t>Pendientes de corazón esmaltado con estilo romántico.</t>
        </is>
      </c>
      <c r="F128" s="2" t="inlineStr">
        <is>
          <t>Aretes</t>
        </is>
      </c>
      <c r="G128" s="2" t="n">
        <v>5</v>
      </c>
      <c r="H128" s="2">
        <f>Configuracion!$B$2</f>
        <v/>
      </c>
      <c r="I128" s="4">
        <f>Configuracion!$B$3</f>
        <v/>
      </c>
      <c r="J128" s="2">
        <f>IF(UPPER(Configuracion!$B$2)="ON",Configuracion!$B$4,"")</f>
        <v/>
      </c>
      <c r="K128" s="3">
        <f>IF(UPPER(Configuracion!$B$2)="ON",ROUND(C128*(1-Configuracion!$B$3),0),ROUND(C128,0))</f>
        <v/>
      </c>
    </row>
    <row r="129">
      <c r="A129" s="2" t="n">
        <v>128</v>
      </c>
      <c r="B129" s="2" t="inlineStr">
        <is>
          <t>Pendientes azul difuminado - Modelo 8</t>
        </is>
      </c>
      <c r="C129" s="3" t="n">
        <v>45</v>
      </c>
      <c r="D129" s="2" t="inlineStr">
        <is>
          <t>128.jpg</t>
        </is>
      </c>
      <c r="E129" s="2" t="inlineStr">
        <is>
          <t>Pendientes de corazón esmaltado con estilo romántico.</t>
        </is>
      </c>
      <c r="F129" s="2" t="inlineStr">
        <is>
          <t>Aretes</t>
        </is>
      </c>
      <c r="G129" s="2" t="n">
        <v>5</v>
      </c>
      <c r="H129" s="2">
        <f>Configuracion!$B$2</f>
        <v/>
      </c>
      <c r="I129" s="4">
        <f>Configuracion!$B$3</f>
        <v/>
      </c>
      <c r="J129" s="2">
        <f>IF(UPPER(Configuracion!$B$2)="ON",Configuracion!$B$4,"")</f>
        <v/>
      </c>
      <c r="K129" s="3">
        <f>IF(UPPER(Configuracion!$B$2)="ON",ROUND(C129*(1-Configuracion!$B$3),0),ROUND(C129,0))</f>
        <v/>
      </c>
    </row>
    <row r="130">
      <c r="A130" s="2" t="n">
        <v>129</v>
      </c>
      <c r="B130" s="2" t="inlineStr">
        <is>
          <t>Pendientes corazón esmaltado - Modelo 9</t>
        </is>
      </c>
      <c r="C130" s="3" t="n">
        <v>25</v>
      </c>
      <c r="D130" s="2" t="inlineStr">
        <is>
          <t>129.jpg</t>
        </is>
      </c>
      <c r="E130" s="2" t="inlineStr">
        <is>
          <t>Pendientes de corazón esmaltado con estilo romántico.</t>
        </is>
      </c>
      <c r="F130" s="2" t="inlineStr">
        <is>
          <t>Aretes</t>
        </is>
      </c>
      <c r="G130" s="2" t="n">
        <v>5</v>
      </c>
      <c r="H130" s="2">
        <f>Configuracion!$B$2</f>
        <v/>
      </c>
      <c r="I130" s="4">
        <f>Configuracion!$B$3</f>
        <v/>
      </c>
      <c r="J130" s="2">
        <f>IF(UPPER(Configuracion!$B$2)="ON",Configuracion!$B$4,"")</f>
        <v/>
      </c>
      <c r="K130" s="3">
        <f>IF(UPPER(Configuracion!$B$2)="ON",ROUND(C130*(1-Configuracion!$B$3),0),ROUND(C130,0))</f>
        <v/>
      </c>
    </row>
    <row r="131">
      <c r="A131" s="2" t="n">
        <v>130</v>
      </c>
      <c r="B131" s="2" t="inlineStr">
        <is>
          <t>Pendientes hora del te - Modelo 10</t>
        </is>
      </c>
      <c r="C131" s="3" t="n">
        <v>35</v>
      </c>
      <c r="D131" s="2" t="inlineStr">
        <is>
          <t>130.jpg</t>
        </is>
      </c>
      <c r="E131" s="2" t="inlineStr">
        <is>
          <t>Pendientes de corazón esmaltado con estilo romántico.</t>
        </is>
      </c>
      <c r="F131" s="2" t="inlineStr">
        <is>
          <t>Aretes</t>
        </is>
      </c>
      <c r="G131" s="2" t="n">
        <v>5</v>
      </c>
      <c r="H131" s="2">
        <f>Configuracion!$B$2</f>
        <v/>
      </c>
      <c r="I131" s="4">
        <f>Configuracion!$B$3</f>
        <v/>
      </c>
      <c r="J131" s="2">
        <f>IF(UPPER(Configuracion!$B$2)="ON",Configuracion!$B$4,"")</f>
        <v/>
      </c>
      <c r="K131" s="3">
        <f>IF(UPPER(Configuracion!$B$2)="ON",ROUND(C131*(1-Configuracion!$B$3),0),ROUND(C131,0))</f>
        <v/>
      </c>
    </row>
    <row r="132">
      <c r="A132" s="2" t="n">
        <v>131</v>
      </c>
      <c r="B132" s="2" t="inlineStr">
        <is>
          <t>Pendientes corazón esmaltado - Modelo 11</t>
        </is>
      </c>
      <c r="C132" s="3" t="n">
        <v>30</v>
      </c>
      <c r="D132" s="2" t="inlineStr">
        <is>
          <t>131.jpg</t>
        </is>
      </c>
      <c r="E132" s="2" t="inlineStr">
        <is>
          <t>Pendientes de corazón esmaltado con estilo romántico.</t>
        </is>
      </c>
      <c r="F132" s="2" t="inlineStr">
        <is>
          <t>Aretes</t>
        </is>
      </c>
      <c r="G132" s="2" t="n">
        <v>5</v>
      </c>
      <c r="H132" s="2">
        <f>Configuracion!$B$2</f>
        <v/>
      </c>
      <c r="I132" s="4">
        <f>Configuracion!$B$3</f>
        <v/>
      </c>
      <c r="J132" s="2">
        <f>IF(UPPER(Configuracion!$B$2)="ON",Configuracion!$B$4,"")</f>
        <v/>
      </c>
      <c r="K132" s="3">
        <f>IF(UPPER(Configuracion!$B$2)="ON",ROUND(C132*(1-Configuracion!$B$3),0),ROUND(C132,0))</f>
        <v/>
      </c>
    </row>
    <row r="133">
      <c r="A133" s="2" t="n">
        <v>132</v>
      </c>
      <c r="B133" s="2" t="inlineStr">
        <is>
          <t>Pendientes esmaltado rosa - Modelo 1</t>
        </is>
      </c>
      <c r="C133" s="3" t="n">
        <v>35</v>
      </c>
      <c r="D133" s="2" t="inlineStr">
        <is>
          <t>132.jpg</t>
        </is>
      </c>
      <c r="E133" s="2" t="inlineStr">
        <is>
          <t>Pendientes con diseño ojo de gato y brillo delicado.</t>
        </is>
      </c>
      <c r="F133" s="2" t="inlineStr">
        <is>
          <t>Aretes</t>
        </is>
      </c>
      <c r="G133" s="2" t="n">
        <v>10</v>
      </c>
      <c r="H133" s="2">
        <f>Configuracion!$B$2</f>
        <v/>
      </c>
      <c r="I133" s="4">
        <f>Configuracion!$B$3</f>
        <v/>
      </c>
      <c r="J133" s="2">
        <f>IF(UPPER(Configuracion!$B$2)="ON",Configuracion!$B$4,"")</f>
        <v/>
      </c>
      <c r="K133" s="3">
        <f>IF(UPPER(Configuracion!$B$2)="ON",ROUND(C133*(1-Configuracion!$B$3),0),ROUND(C133,0))</f>
        <v/>
      </c>
    </row>
    <row r="134">
      <c r="A134" s="2" t="n">
        <v>133</v>
      </c>
      <c r="B134" s="2" t="inlineStr">
        <is>
          <t>Pendientes de flores rosaas - Modelo 2</t>
        </is>
      </c>
      <c r="C134" s="3" t="n">
        <v>30</v>
      </c>
      <c r="D134" s="2" t="inlineStr">
        <is>
          <t>133.jpg</t>
        </is>
      </c>
      <c r="E134" s="2" t="inlineStr">
        <is>
          <t>Pendientes con diseño ojo de gato y brillo delicado.</t>
        </is>
      </c>
      <c r="F134" s="2" t="inlineStr">
        <is>
          <t>Aretes</t>
        </is>
      </c>
      <c r="G134" s="2" t="n">
        <v>10</v>
      </c>
      <c r="H134" s="2">
        <f>Configuracion!$B$2</f>
        <v/>
      </c>
      <c r="I134" s="4">
        <f>Configuracion!$B$3</f>
        <v/>
      </c>
      <c r="J134" s="2">
        <f>IF(UPPER(Configuracion!$B$2)="ON",Configuracion!$B$4,"")</f>
        <v/>
      </c>
      <c r="K134" s="3">
        <f>IF(UPPER(Configuracion!$B$2)="ON",ROUND(C134*(1-Configuracion!$B$3),0),ROUND(C134,0))</f>
        <v/>
      </c>
    </row>
    <row r="135">
      <c r="A135" s="2" t="n">
        <v>134</v>
      </c>
      <c r="B135" s="2" t="inlineStr">
        <is>
          <t>Pendientes corazon rosa - Modelo 3</t>
        </is>
      </c>
      <c r="C135" s="3" t="n">
        <v>55</v>
      </c>
      <c r="D135" s="2" t="inlineStr">
        <is>
          <t>134.jpg</t>
        </is>
      </c>
      <c r="E135" s="2" t="inlineStr">
        <is>
          <t>Pendientes con diseño ojo de gato y brillo delicado.</t>
        </is>
      </c>
      <c r="F135" s="2" t="inlineStr">
        <is>
          <t>Aretes</t>
        </is>
      </c>
      <c r="G135" s="2" t="n">
        <v>10</v>
      </c>
      <c r="H135" s="2">
        <f>Configuracion!$B$2</f>
        <v/>
      </c>
      <c r="I135" s="4">
        <f>Configuracion!$B$3</f>
        <v/>
      </c>
      <c r="J135" s="2">
        <f>IF(UPPER(Configuracion!$B$2)="ON",Configuracion!$B$4,"")</f>
        <v/>
      </c>
      <c r="K135" s="3">
        <f>IF(UPPER(Configuracion!$B$2)="ON",ROUND(C135*(1-Configuracion!$B$3),0),ROUND(C135,0))</f>
        <v/>
      </c>
    </row>
    <row r="136">
      <c r="A136" s="2" t="n">
        <v>135</v>
      </c>
      <c r="B136" s="2" t="inlineStr">
        <is>
          <t>Pendientes corazon nacarado - Modelo 4</t>
        </is>
      </c>
      <c r="C136" s="3" t="n">
        <v>25</v>
      </c>
      <c r="D136" s="2" t="inlineStr">
        <is>
          <t>135.jpg</t>
        </is>
      </c>
      <c r="E136" s="2" t="inlineStr">
        <is>
          <t>Pendientes con diseño ojo de gato y brillo delicado.</t>
        </is>
      </c>
      <c r="F136" s="2" t="inlineStr">
        <is>
          <t>Aretes</t>
        </is>
      </c>
      <c r="G136" s="2" t="n">
        <v>10</v>
      </c>
      <c r="H136" s="2">
        <f>Configuracion!$B$2</f>
        <v/>
      </c>
      <c r="I136" s="4">
        <f>Configuracion!$B$3</f>
        <v/>
      </c>
      <c r="J136" s="2">
        <f>IF(UPPER(Configuracion!$B$2)="ON",Configuracion!$B$4,"")</f>
        <v/>
      </c>
      <c r="K136" s="3">
        <f>IF(UPPER(Configuracion!$B$2)="ON",ROUND(C136*(1-Configuracion!$B$3),0),ROUND(C136,0))</f>
        <v/>
      </c>
    </row>
    <row r="137">
      <c r="A137" s="2" t="n">
        <v>136</v>
      </c>
      <c r="B137" s="2" t="inlineStr">
        <is>
          <t>Pendientes flor rosada - Modelo 5</t>
        </is>
      </c>
      <c r="C137" s="3" t="n">
        <v>30</v>
      </c>
      <c r="D137" s="2" t="inlineStr">
        <is>
          <t>136.jpg</t>
        </is>
      </c>
      <c r="E137" s="2" t="inlineStr">
        <is>
          <t>Pendientes con diseño ojo de gato y brillo delicado.</t>
        </is>
      </c>
      <c r="F137" s="2" t="inlineStr">
        <is>
          <t>Aretes</t>
        </is>
      </c>
      <c r="G137" s="2" t="n">
        <v>10</v>
      </c>
      <c r="H137" s="2">
        <f>Configuracion!$B$2</f>
        <v/>
      </c>
      <c r="I137" s="4">
        <f>Configuracion!$B$3</f>
        <v/>
      </c>
      <c r="J137" s="2">
        <f>IF(UPPER(Configuracion!$B$2)="ON",Configuracion!$B$4,"")</f>
        <v/>
      </c>
      <c r="K137" s="3">
        <f>IF(UPPER(Configuracion!$B$2)="ON",ROUND(C137*(1-Configuracion!$B$3),0),ROUND(C137,0))</f>
        <v/>
      </c>
    </row>
    <row r="138">
      <c r="A138" s="2" t="n">
        <v>137</v>
      </c>
      <c r="B138" s="2" t="inlineStr">
        <is>
          <t>Pendientes de perlas y cristales - Modelo 19</t>
        </is>
      </c>
      <c r="C138" s="3" t="n">
        <v>60</v>
      </c>
      <c r="D138" s="2" t="inlineStr">
        <is>
          <t>137.jpg</t>
        </is>
      </c>
      <c r="E138" s="2" t="inlineStr">
        <is>
          <t>Pendientes largos con perlas y cristales de brillo elegante.</t>
        </is>
      </c>
      <c r="F138" s="2" t="inlineStr">
        <is>
          <t>Aretes</t>
        </is>
      </c>
      <c r="G138" s="2" t="n">
        <v>10</v>
      </c>
      <c r="H138" s="2">
        <f>Configuracion!$B$2</f>
        <v/>
      </c>
      <c r="I138" s="4">
        <f>Configuracion!$B$3</f>
        <v/>
      </c>
      <c r="J138" s="2">
        <f>IF(UPPER(Configuracion!$B$2)="ON",Configuracion!$B$4,"")</f>
        <v/>
      </c>
      <c r="K138" s="3">
        <f>IF(UPPER(Configuracion!$B$2)="ON",ROUND(C138*(1-Configuracion!$B$3),0),ROUND(C138,0))</f>
        <v/>
      </c>
    </row>
    <row r="139">
      <c r="A139" s="2" t="n">
        <v>138</v>
      </c>
      <c r="B139" s="2" t="inlineStr">
        <is>
          <t>Pendientes de perlas y cristales - Modelo 20</t>
        </is>
      </c>
      <c r="C139" s="3" t="n">
        <v>45</v>
      </c>
      <c r="D139" s="2" t="inlineStr">
        <is>
          <t>138.jpg</t>
        </is>
      </c>
      <c r="E139" s="2" t="inlineStr">
        <is>
          <t>Pendientes largos con perlas y cristales de brillo elegante.</t>
        </is>
      </c>
      <c r="F139" s="2" t="inlineStr">
        <is>
          <t>Aretes</t>
        </is>
      </c>
      <c r="G139" s="2" t="n">
        <v>10</v>
      </c>
      <c r="H139" s="2">
        <f>Configuracion!$B$2</f>
        <v/>
      </c>
      <c r="I139" s="4">
        <f>Configuracion!$B$3</f>
        <v/>
      </c>
      <c r="J139" s="2">
        <f>IF(UPPER(Configuracion!$B$2)="ON",Configuracion!$B$4,"")</f>
        <v/>
      </c>
      <c r="K139" s="3">
        <f>IF(UPPER(Configuracion!$B$2)="ON",ROUND(C139*(1-Configuracion!$B$3),0),ROUND(C139,0))</f>
        <v/>
      </c>
    </row>
    <row r="140">
      <c r="A140" s="2" t="n">
        <v>139</v>
      </c>
      <c r="B140" s="2" t="inlineStr">
        <is>
          <t>Pendientes de mariposas y cristales - Modelo 21</t>
        </is>
      </c>
      <c r="C140" s="3" t="n">
        <v>60</v>
      </c>
      <c r="D140" s="2" t="inlineStr">
        <is>
          <t>139.jpg</t>
        </is>
      </c>
      <c r="E140" s="2" t="inlineStr">
        <is>
          <t>Pendientes largos con perlas y cristales de brillo elegante.</t>
        </is>
      </c>
      <c r="F140" s="2" t="inlineStr">
        <is>
          <t>Aretes</t>
        </is>
      </c>
      <c r="G140" s="2" t="n">
        <v>15</v>
      </c>
      <c r="H140" s="2">
        <f>Configuracion!$B$2</f>
        <v/>
      </c>
      <c r="I140" s="4">
        <f>Configuracion!$B$3</f>
        <v/>
      </c>
      <c r="J140" s="2">
        <f>IF(UPPER(Configuracion!$B$2)="ON",Configuracion!$B$4,"")</f>
        <v/>
      </c>
      <c r="K140" s="3">
        <f>IF(UPPER(Configuracion!$B$2)="ON",ROUND(C140*(1-Configuracion!$B$3),0),ROUND(C140,0))</f>
        <v/>
      </c>
    </row>
    <row r="141">
      <c r="A141" s="2" t="n">
        <v>140</v>
      </c>
      <c r="B141" s="2" t="inlineStr">
        <is>
          <t>Pendientes de perlas y cristales - Modelo 22</t>
        </is>
      </c>
      <c r="C141" s="3" t="n">
        <v>55</v>
      </c>
      <c r="D141" s="2" t="inlineStr">
        <is>
          <t>140.jpg</t>
        </is>
      </c>
      <c r="E141" s="2" t="inlineStr">
        <is>
          <t>Pendientes largos con perlas y cristales de brillo elegante.</t>
        </is>
      </c>
      <c r="F141" s="2" t="inlineStr">
        <is>
          <t>Aretes</t>
        </is>
      </c>
      <c r="G141" s="2" t="n">
        <v>10</v>
      </c>
      <c r="H141" s="2">
        <f>Configuracion!$B$2</f>
        <v/>
      </c>
      <c r="I141" s="4">
        <f>Configuracion!$B$3</f>
        <v/>
      </c>
      <c r="J141" s="2">
        <f>IF(UPPER(Configuracion!$B$2)="ON",Configuracion!$B$4,"")</f>
        <v/>
      </c>
      <c r="K141" s="3">
        <f>IF(UPPER(Configuracion!$B$2)="ON",ROUND(C141*(1-Configuracion!$B$3),0),ROUND(C141,0))</f>
        <v/>
      </c>
    </row>
    <row r="142">
      <c r="A142" s="2" t="n">
        <v>141</v>
      </c>
      <c r="B142" s="2" t="inlineStr">
        <is>
          <t>Pendientes de flores blancas - Modelo 23</t>
        </is>
      </c>
      <c r="C142" s="3" t="n">
        <v>35</v>
      </c>
      <c r="D142" s="2" t="inlineStr">
        <is>
          <t>141.jpg</t>
        </is>
      </c>
      <c r="E142" s="2" t="inlineStr">
        <is>
          <t>Pendientes largos con perlas y cristales de brillo elegante.</t>
        </is>
      </c>
      <c r="F142" s="2" t="inlineStr">
        <is>
          <t>Aretes</t>
        </is>
      </c>
      <c r="G142" s="2" t="n">
        <v>10</v>
      </c>
      <c r="H142" s="2">
        <f>Configuracion!$B$2</f>
        <v/>
      </c>
      <c r="I142" s="4">
        <f>Configuracion!$B$3</f>
        <v/>
      </c>
      <c r="J142" s="2">
        <f>IF(UPPER(Configuracion!$B$2)="ON",Configuracion!$B$4,"")</f>
        <v/>
      </c>
      <c r="K142" s="3">
        <f>IF(UPPER(Configuracion!$B$2)="ON",ROUND(C142*(1-Configuracion!$B$3),0),ROUND(C142,0))</f>
        <v/>
      </c>
    </row>
    <row r="143">
      <c r="A143" s="2" t="n">
        <v>142</v>
      </c>
      <c r="B143" s="2" t="inlineStr">
        <is>
          <t>Pendientes de flores y cristales - Modelo 24</t>
        </is>
      </c>
      <c r="C143" s="3" t="n">
        <v>55</v>
      </c>
      <c r="D143" s="2" t="inlineStr">
        <is>
          <t>142.jpg</t>
        </is>
      </c>
      <c r="E143" s="2" t="inlineStr">
        <is>
          <t>Pendientes largos con perlas y cristales de brillo elegante.</t>
        </is>
      </c>
      <c r="F143" s="2" t="inlineStr">
        <is>
          <t>Aretes</t>
        </is>
      </c>
      <c r="G143" s="2" t="n">
        <v>5</v>
      </c>
      <c r="H143" s="2">
        <f>Configuracion!$B$2</f>
        <v/>
      </c>
      <c r="I143" s="4">
        <f>Configuracion!$B$3</f>
        <v/>
      </c>
      <c r="J143" s="2">
        <f>IF(UPPER(Configuracion!$B$2)="ON",Configuracion!$B$4,"")</f>
        <v/>
      </c>
      <c r="K143" s="3">
        <f>IF(UPPER(Configuracion!$B$2)="ON",ROUND(C143*(1-Configuracion!$B$3),0),ROUND(C143,0))</f>
        <v/>
      </c>
    </row>
    <row r="144">
      <c r="A144" s="2" t="n">
        <v>143</v>
      </c>
      <c r="B144" s="2" t="inlineStr">
        <is>
          <t>Pendientes de corazón verde - Modelo 25</t>
        </is>
      </c>
      <c r="C144" s="3" t="n">
        <v>50</v>
      </c>
      <c r="D144" s="2" t="inlineStr">
        <is>
          <t>143.jpg</t>
        </is>
      </c>
      <c r="E144" s="2" t="inlineStr">
        <is>
          <t>Pendientes largos con perlas y cristales de brillo elegante.</t>
        </is>
      </c>
      <c r="F144" s="2" t="inlineStr">
        <is>
          <t>Aretes</t>
        </is>
      </c>
      <c r="G144" s="2" t="n">
        <v>5</v>
      </c>
      <c r="H144" s="2">
        <f>Configuracion!$B$2</f>
        <v/>
      </c>
      <c r="I144" s="4">
        <f>Configuracion!$B$3</f>
        <v/>
      </c>
      <c r="J144" s="2">
        <f>IF(UPPER(Configuracion!$B$2)="ON",Configuracion!$B$4,"")</f>
        <v/>
      </c>
      <c r="K144" s="3">
        <f>IF(UPPER(Configuracion!$B$2)="ON",ROUND(C144*(1-Configuracion!$B$3),0),ROUND(C144,0))</f>
        <v/>
      </c>
    </row>
    <row r="145">
      <c r="A145" s="2" t="n">
        <v>144</v>
      </c>
      <c r="B145" s="2" t="inlineStr">
        <is>
          <t>Pendientes de rosas nacaradas - Modelo 26</t>
        </is>
      </c>
      <c r="C145" s="3" t="n">
        <v>40</v>
      </c>
      <c r="D145" s="2" t="inlineStr">
        <is>
          <t>144.jpg</t>
        </is>
      </c>
      <c r="E145" s="2" t="inlineStr">
        <is>
          <t>Pendientes largos con perlas y cristales de brillo elegante.</t>
        </is>
      </c>
      <c r="F145" s="2" t="inlineStr">
        <is>
          <t>Aretes</t>
        </is>
      </c>
      <c r="G145" s="2" t="n">
        <v>5</v>
      </c>
      <c r="H145" s="2">
        <f>Configuracion!$B$2</f>
        <v/>
      </c>
      <c r="I145" s="4">
        <f>Configuracion!$B$3</f>
        <v/>
      </c>
      <c r="J145" s="2">
        <f>IF(UPPER(Configuracion!$B$2)="ON",Configuracion!$B$4,"")</f>
        <v/>
      </c>
      <c r="K145" s="3">
        <f>IF(UPPER(Configuracion!$B$2)="ON",ROUND(C145*(1-Configuracion!$B$3),0),ROUND(C145,0))</f>
        <v/>
      </c>
    </row>
    <row r="146">
      <c r="A146" s="2" t="n">
        <v>145</v>
      </c>
      <c r="B146" s="2" t="inlineStr">
        <is>
          <t>Pendientes de flor de seda - Modelo 27</t>
        </is>
      </c>
      <c r="C146" s="3" t="n">
        <v>35</v>
      </c>
      <c r="D146" s="2" t="inlineStr">
        <is>
          <t>145.jpg</t>
        </is>
      </c>
      <c r="E146" s="2" t="inlineStr">
        <is>
          <t>Pendientes largos con perlas y cristales de brillo elegante.</t>
        </is>
      </c>
      <c r="F146" s="2" t="inlineStr">
        <is>
          <t>Aretes</t>
        </is>
      </c>
      <c r="G146" s="2" t="n">
        <v>10</v>
      </c>
      <c r="H146" s="2">
        <f>Configuracion!$B$2</f>
        <v/>
      </c>
      <c r="I146" s="4">
        <f>Configuracion!$B$3</f>
        <v/>
      </c>
      <c r="J146" s="2">
        <f>IF(UPPER(Configuracion!$B$2)="ON",Configuracion!$B$4,"")</f>
        <v/>
      </c>
      <c r="K146" s="3">
        <f>IF(UPPER(Configuracion!$B$2)="ON",ROUND(C146*(1-Configuracion!$B$3),0),ROUND(C146,0))</f>
        <v/>
      </c>
    </row>
    <row r="147">
      <c r="A147" s="2" t="n">
        <v>146</v>
      </c>
      <c r="B147" s="2" t="inlineStr">
        <is>
          <t>Pendientes de corazon morado - Modelo 28</t>
        </is>
      </c>
      <c r="C147" s="3" t="n">
        <v>45</v>
      </c>
      <c r="D147" s="2" t="inlineStr">
        <is>
          <t>146.jpg</t>
        </is>
      </c>
      <c r="E147" s="2" t="inlineStr">
        <is>
          <t>Pendientes largos con perlas y cristales de brillo elegante.</t>
        </is>
      </c>
      <c r="F147" s="2" t="inlineStr">
        <is>
          <t>Aretes</t>
        </is>
      </c>
      <c r="G147" s="2" t="n">
        <v>15</v>
      </c>
      <c r="H147" s="2">
        <f>Configuracion!$B$2</f>
        <v/>
      </c>
      <c r="I147" s="4">
        <f>Configuracion!$B$3</f>
        <v/>
      </c>
      <c r="J147" s="2">
        <f>IF(UPPER(Configuracion!$B$2)="ON",Configuracion!$B$4,"")</f>
        <v/>
      </c>
      <c r="K147" s="3">
        <f>IF(UPPER(Configuracion!$B$2)="ON",ROUND(C147*(1-Configuracion!$B$3),0),ROUND(C147,0))</f>
        <v/>
      </c>
    </row>
    <row r="148">
      <c r="A148" s="2" t="n">
        <v>147</v>
      </c>
      <c r="B148" s="2" t="inlineStr">
        <is>
          <t>Pendientes flor de seda - Modelo 29</t>
        </is>
      </c>
      <c r="C148" s="3" t="n">
        <v>45</v>
      </c>
      <c r="D148" s="2" t="inlineStr">
        <is>
          <t>147.jpg</t>
        </is>
      </c>
      <c r="E148" s="2" t="inlineStr">
        <is>
          <t>Pendientes largos con perlas y cristales de brillo elegante.</t>
        </is>
      </c>
      <c r="F148" s="2" t="inlineStr">
        <is>
          <t>Aretes</t>
        </is>
      </c>
      <c r="G148" s="2" t="n">
        <v>15</v>
      </c>
      <c r="H148" s="2">
        <f>Configuracion!$B$2</f>
        <v/>
      </c>
      <c r="I148" s="4">
        <f>Configuracion!$B$3</f>
        <v/>
      </c>
      <c r="J148" s="2">
        <f>IF(UPPER(Configuracion!$B$2)="ON",Configuracion!$B$4,"")</f>
        <v/>
      </c>
      <c r="K148" s="3">
        <f>IF(UPPER(Configuracion!$B$2)="ON",ROUND(C148*(1-Configuracion!$B$3),0),ROUND(C148,0))</f>
        <v/>
      </c>
    </row>
    <row r="149">
      <c r="A149" s="2" t="n">
        <v>148</v>
      </c>
      <c r="B149" s="2" t="inlineStr">
        <is>
          <t>Pendientes de cristales colgantes - Modelo 30</t>
        </is>
      </c>
      <c r="C149" s="3" t="n">
        <v>60</v>
      </c>
      <c r="D149" s="2" t="inlineStr">
        <is>
          <t>148.jpg</t>
        </is>
      </c>
      <c r="E149" s="2" t="inlineStr">
        <is>
          <t>Pendientes largos con perlas y cristales de brillo elegante.</t>
        </is>
      </c>
      <c r="F149" s="2" t="inlineStr">
        <is>
          <t>Aretes</t>
        </is>
      </c>
      <c r="G149" s="2" t="n">
        <v>15</v>
      </c>
      <c r="H149" s="2">
        <f>Configuracion!$B$2</f>
        <v/>
      </c>
      <c r="I149" s="4">
        <f>Configuracion!$B$3</f>
        <v/>
      </c>
      <c r="J149" s="2">
        <f>IF(UPPER(Configuracion!$B$2)="ON",Configuracion!$B$4,"")</f>
        <v/>
      </c>
      <c r="K149" s="3">
        <f>IF(UPPER(Configuracion!$B$2)="ON",ROUND(C149*(1-Configuracion!$B$3),0),ROUND(C149,0))</f>
        <v/>
      </c>
    </row>
    <row r="150">
      <c r="A150" s="2" t="n">
        <v>149</v>
      </c>
      <c r="B150" s="2" t="inlineStr">
        <is>
          <t>Pendientes racimo de uvas - Modelo 31</t>
        </is>
      </c>
      <c r="C150" s="3" t="n">
        <v>45</v>
      </c>
      <c r="D150" s="2" t="inlineStr">
        <is>
          <t>149.jpg</t>
        </is>
      </c>
      <c r="E150" s="2" t="inlineStr">
        <is>
          <t>Pendientes largos con perlas y cristales de brillo elegante.</t>
        </is>
      </c>
      <c r="F150" s="2" t="inlineStr">
        <is>
          <t>Aretes</t>
        </is>
      </c>
      <c r="G150" s="2" t="n">
        <v>10</v>
      </c>
      <c r="H150" s="2">
        <f>Configuracion!$B$2</f>
        <v/>
      </c>
      <c r="I150" s="4">
        <f>Configuracion!$B$3</f>
        <v/>
      </c>
      <c r="J150" s="2">
        <f>IF(UPPER(Configuracion!$B$2)="ON",Configuracion!$B$4,"")</f>
        <v/>
      </c>
      <c r="K150" s="3">
        <f>IF(UPPER(Configuracion!$B$2)="ON",ROUND(C150*(1-Configuracion!$B$3),0),ROUND(C150,0))</f>
        <v/>
      </c>
    </row>
    <row r="151">
      <c r="A151" s="2" t="n">
        <v>150</v>
      </c>
      <c r="B151" s="2" t="inlineStr">
        <is>
          <t>Pendientes de flores y perlas - Modelo 32</t>
        </is>
      </c>
      <c r="C151" s="3" t="n">
        <v>40</v>
      </c>
      <c r="D151" s="2" t="inlineStr">
        <is>
          <t>150.jpg</t>
        </is>
      </c>
      <c r="E151" s="2" t="inlineStr">
        <is>
          <t>Pendientes largos con perlas y cristales de brillo elegante.</t>
        </is>
      </c>
      <c r="F151" s="2" t="inlineStr">
        <is>
          <t>Aretes</t>
        </is>
      </c>
      <c r="G151" s="2" t="n">
        <v>15</v>
      </c>
      <c r="H151" s="2">
        <f>Configuracion!$B$2</f>
        <v/>
      </c>
      <c r="I151" s="4">
        <f>Configuracion!$B$3</f>
        <v/>
      </c>
      <c r="J151" s="2">
        <f>IF(UPPER(Configuracion!$B$2)="ON",Configuracion!$B$4,"")</f>
        <v/>
      </c>
      <c r="K151" s="3">
        <f>IF(UPPER(Configuracion!$B$2)="ON",ROUND(C151*(1-Configuracion!$B$3),0),ROUND(C151,0))</f>
        <v/>
      </c>
    </row>
    <row r="152">
      <c r="A152" s="2" t="n">
        <v>151</v>
      </c>
      <c r="B152" s="2" t="inlineStr">
        <is>
          <t>Pendientes de flores aquamarina - Modelo 33</t>
        </is>
      </c>
      <c r="C152" s="3" t="n">
        <v>60</v>
      </c>
      <c r="D152" s="2" t="inlineStr">
        <is>
          <t>151.jpg</t>
        </is>
      </c>
      <c r="E152" s="2" t="inlineStr">
        <is>
          <t>Pendientes largos con perlas y cristales de brillo elegante.</t>
        </is>
      </c>
      <c r="F152" s="2" t="inlineStr">
        <is>
          <t>Aretes</t>
        </is>
      </c>
      <c r="G152" s="2" t="n">
        <v>5</v>
      </c>
      <c r="H152" s="2">
        <f>Configuracion!$B$2</f>
        <v/>
      </c>
      <c r="I152" s="4">
        <f>Configuracion!$B$3</f>
        <v/>
      </c>
      <c r="J152" s="2">
        <f>IF(UPPER(Configuracion!$B$2)="ON",Configuracion!$B$4,"")</f>
        <v/>
      </c>
      <c r="K152" s="3">
        <f>IF(UPPER(Configuracion!$B$2)="ON",ROUND(C152*(1-Configuracion!$B$3),0),ROUND(C152,0))</f>
        <v/>
      </c>
    </row>
    <row r="153">
      <c r="A153" s="2" t="n">
        <v>152</v>
      </c>
      <c r="B153" s="2" t="inlineStr">
        <is>
          <t>Pendientes de perlas y cristales - Modelo 34</t>
        </is>
      </c>
      <c r="C153" s="3" t="n">
        <v>45</v>
      </c>
      <c r="D153" s="2" t="inlineStr">
        <is>
          <t>152.jpg</t>
        </is>
      </c>
      <c r="E153" s="2" t="inlineStr">
        <is>
          <t>Pendientes largos con perlas y cristales de brillo elegante.</t>
        </is>
      </c>
      <c r="F153" s="2" t="inlineStr">
        <is>
          <t>Aretes</t>
        </is>
      </c>
      <c r="G153" s="2" t="n">
        <v>5</v>
      </c>
      <c r="H153" s="2">
        <f>Configuracion!$B$2</f>
        <v/>
      </c>
      <c r="I153" s="4">
        <f>Configuracion!$B$3</f>
        <v/>
      </c>
      <c r="J153" s="2">
        <f>IF(UPPER(Configuracion!$B$2)="ON",Configuracion!$B$4,"")</f>
        <v/>
      </c>
      <c r="K153" s="3">
        <f>IF(UPPER(Configuracion!$B$2)="ON",ROUND(C153*(1-Configuracion!$B$3),0),ROUND(C153,0))</f>
        <v/>
      </c>
    </row>
    <row r="154">
      <c r="A154" s="2" t="n">
        <v>153</v>
      </c>
      <c r="B154" s="2" t="inlineStr">
        <is>
          <t>Pendientes de flores y cristales - Modelo 35</t>
        </is>
      </c>
      <c r="C154" s="3" t="n">
        <v>50</v>
      </c>
      <c r="D154" s="2" t="inlineStr">
        <is>
          <t>153.jpg</t>
        </is>
      </c>
      <c r="E154" s="2" t="inlineStr">
        <is>
          <t>Pendientes largos con perlas y cristales de brillo elegante.</t>
        </is>
      </c>
      <c r="F154" s="2" t="inlineStr">
        <is>
          <t>Aretes</t>
        </is>
      </c>
      <c r="G154" s="2" t="n">
        <v>10</v>
      </c>
      <c r="H154" s="2">
        <f>Configuracion!$B$2</f>
        <v/>
      </c>
      <c r="I154" s="4">
        <f>Configuracion!$B$3</f>
        <v/>
      </c>
      <c r="J154" s="2">
        <f>IF(UPPER(Configuracion!$B$2)="ON",Configuracion!$B$4,"")</f>
        <v/>
      </c>
      <c r="K154" s="3">
        <f>IF(UPPER(Configuracion!$B$2)="ON",ROUND(C154*(1-Configuracion!$B$3),0),ROUND(C154,0))</f>
        <v/>
      </c>
    </row>
    <row r="155">
      <c r="A155" s="2" t="n">
        <v>154</v>
      </c>
      <c r="B155" s="2" t="inlineStr">
        <is>
          <t>Pendientes de rosas con perlas - Modelo 36</t>
        </is>
      </c>
      <c r="C155" s="3" t="n">
        <v>50</v>
      </c>
      <c r="D155" s="2" t="inlineStr">
        <is>
          <t>154.jpg</t>
        </is>
      </c>
      <c r="E155" s="2" t="inlineStr">
        <is>
          <t>Pendientes largos con perlas y cristales de brillo elegante.</t>
        </is>
      </c>
      <c r="F155" s="2" t="inlineStr">
        <is>
          <t>Aretes</t>
        </is>
      </c>
      <c r="G155" s="2" t="n">
        <v>15</v>
      </c>
      <c r="H155" s="2">
        <f>Configuracion!$B$2</f>
        <v/>
      </c>
      <c r="I155" s="4">
        <f>Configuracion!$B$3</f>
        <v/>
      </c>
      <c r="J155" s="2">
        <f>IF(UPPER(Configuracion!$B$2)="ON",Configuracion!$B$4,"")</f>
        <v/>
      </c>
      <c r="K155" s="3">
        <f>IF(UPPER(Configuracion!$B$2)="ON",ROUND(C155*(1-Configuracion!$B$3),0),ROUND(C155,0))</f>
        <v/>
      </c>
    </row>
    <row r="156">
      <c r="A156" s="2" t="n">
        <v>155</v>
      </c>
      <c r="B156" s="2" t="inlineStr">
        <is>
          <t>Pendientes flor mini - Modelo 1</t>
        </is>
      </c>
      <c r="C156" s="3" t="n">
        <v>50</v>
      </c>
      <c r="D156" s="2" t="inlineStr">
        <is>
          <t>155.jpg</t>
        </is>
      </c>
      <c r="E156" s="2" t="inlineStr">
        <is>
          <t>Pendientes pequeños de flor con acabado fresco y ligero.</t>
        </is>
      </c>
      <c r="F156" s="2" t="inlineStr">
        <is>
          <t>Aretes</t>
        </is>
      </c>
      <c r="G156" s="2" t="n">
        <v>10</v>
      </c>
      <c r="H156" s="2">
        <f>Configuracion!$B$2</f>
        <v/>
      </c>
      <c r="I156" s="4">
        <f>Configuracion!$B$3</f>
        <v/>
      </c>
      <c r="J156" s="2">
        <f>IF(UPPER(Configuracion!$B$2)="ON",Configuracion!$B$4,"")</f>
        <v/>
      </c>
      <c r="K156" s="3">
        <f>IF(UPPER(Configuracion!$B$2)="ON",ROUND(C156*(1-Configuracion!$B$3),0),ROUND(C156,0))</f>
        <v/>
      </c>
    </row>
    <row r="157">
      <c r="A157" s="2" t="n">
        <v>156</v>
      </c>
      <c r="B157" s="2" t="inlineStr">
        <is>
          <t>Pendientesnegros - Modelo 2</t>
        </is>
      </c>
      <c r="C157" s="3" t="n">
        <v>15</v>
      </c>
      <c r="D157" s="2" t="inlineStr">
        <is>
          <t>156.jpg</t>
        </is>
      </c>
      <c r="E157" s="2" t="inlineStr">
        <is>
          <t>Pendientes pequeños de flor con acabado fresco y ligero.</t>
        </is>
      </c>
      <c r="F157" s="2" t="inlineStr">
        <is>
          <t>Aretes</t>
        </is>
      </c>
      <c r="G157" s="2" t="n">
        <v>10</v>
      </c>
      <c r="H157" s="2">
        <f>Configuracion!$B$2</f>
        <v/>
      </c>
      <c r="I157" s="4">
        <f>Configuracion!$B$3</f>
        <v/>
      </c>
      <c r="J157" s="2">
        <f>IF(UPPER(Configuracion!$B$2)="ON",Configuracion!$B$4,"")</f>
        <v/>
      </c>
      <c r="K157" s="3">
        <f>IF(UPPER(Configuracion!$B$2)="ON",ROUND(C157*(1-Configuracion!$B$3),0),ROUND(C157,0))</f>
        <v/>
      </c>
    </row>
    <row r="158">
      <c r="A158" s="2" t="n">
        <v>157</v>
      </c>
      <c r="B158" s="2" t="inlineStr">
        <is>
          <t>Pendientes flor mini - Modelo 3</t>
        </is>
      </c>
      <c r="C158" s="3" t="n">
        <v>35</v>
      </c>
      <c r="D158" s="2" t="inlineStr">
        <is>
          <t>157.jpg</t>
        </is>
      </c>
      <c r="E158" s="2" t="inlineStr">
        <is>
          <t>Pendientes pequeños de flor con acabado fresco y ligero.</t>
        </is>
      </c>
      <c r="F158" s="2" t="inlineStr">
        <is>
          <t>Aretes</t>
        </is>
      </c>
      <c r="G158" s="2" t="n">
        <v>10</v>
      </c>
      <c r="H158" s="2">
        <f>Configuracion!$B$2</f>
        <v/>
      </c>
      <c r="I158" s="4">
        <f>Configuracion!$B$3</f>
        <v/>
      </c>
      <c r="J158" s="2">
        <f>IF(UPPER(Configuracion!$B$2)="ON",Configuracion!$B$4,"")</f>
        <v/>
      </c>
      <c r="K158" s="3">
        <f>IF(UPPER(Configuracion!$B$2)="ON",ROUND(C158*(1-Configuracion!$B$3),0),ROUND(C158,0))</f>
        <v/>
      </c>
    </row>
    <row r="159">
      <c r="A159" s="2" t="n">
        <v>158</v>
      </c>
      <c r="B159" s="2" t="inlineStr">
        <is>
          <t>Pendientes flor mini - Modelo 4</t>
        </is>
      </c>
      <c r="C159" s="3" t="n">
        <v>30</v>
      </c>
      <c r="D159" s="2" t="inlineStr">
        <is>
          <t>158.jpg</t>
        </is>
      </c>
      <c r="E159" s="2" t="inlineStr">
        <is>
          <t>Pendientes pequeños de flor con acabado fresco y ligero.</t>
        </is>
      </c>
      <c r="F159" s="2" t="inlineStr">
        <is>
          <t>Aretes</t>
        </is>
      </c>
      <c r="G159" s="2" t="n">
        <v>10</v>
      </c>
      <c r="H159" s="2">
        <f>Configuracion!$B$2</f>
        <v/>
      </c>
      <c r="I159" s="4">
        <f>Configuracion!$B$3</f>
        <v/>
      </c>
      <c r="J159" s="2">
        <f>IF(UPPER(Configuracion!$B$2)="ON",Configuracion!$B$4,"")</f>
        <v/>
      </c>
      <c r="K159" s="3">
        <f>IF(UPPER(Configuracion!$B$2)="ON",ROUND(C159*(1-Configuracion!$B$3),0),ROUND(C159,0))</f>
        <v/>
      </c>
    </row>
    <row r="160">
      <c r="A160" s="2" t="n">
        <v>159</v>
      </c>
      <c r="B160" s="2" t="inlineStr">
        <is>
          <t>Pendientes flor mini - Modelo 5</t>
        </is>
      </c>
      <c r="C160" s="3" t="n">
        <v>50</v>
      </c>
      <c r="D160" s="2" t="inlineStr">
        <is>
          <t>159.jpg</t>
        </is>
      </c>
      <c r="E160" s="2" t="inlineStr">
        <is>
          <t>Pendientes pequeños de flor con acabado fresco y ligero.</t>
        </is>
      </c>
      <c r="F160" s="2" t="inlineStr">
        <is>
          <t>Aretes</t>
        </is>
      </c>
      <c r="G160" s="2" t="n">
        <v>10</v>
      </c>
      <c r="H160" s="2">
        <f>Configuracion!$B$2</f>
        <v/>
      </c>
      <c r="I160" s="4">
        <f>Configuracion!$B$3</f>
        <v/>
      </c>
      <c r="J160" s="2">
        <f>IF(UPPER(Configuracion!$B$2)="ON",Configuracion!$B$4,"")</f>
        <v/>
      </c>
      <c r="K160" s="3">
        <f>IF(UPPER(Configuracion!$B$2)="ON",ROUND(C160*(1-Configuracion!$B$3),0),ROUND(C160,0))</f>
        <v/>
      </c>
    </row>
    <row r="161">
      <c r="A161" s="2" t="n">
        <v>160</v>
      </c>
      <c r="B161" s="2" t="inlineStr">
        <is>
          <t>Pendientes flor mini - Modelo 6</t>
        </is>
      </c>
      <c r="C161" s="3" t="n">
        <v>50</v>
      </c>
      <c r="D161" s="2" t="inlineStr">
        <is>
          <t>160.jpg</t>
        </is>
      </c>
      <c r="E161" s="2" t="inlineStr">
        <is>
          <t>Pendientes pequeños de flor con acabado fresco y ligero.</t>
        </is>
      </c>
      <c r="F161" s="2" t="inlineStr">
        <is>
          <t>Aretes</t>
        </is>
      </c>
      <c r="G161" s="2" t="n">
        <v>10</v>
      </c>
      <c r="H161" s="2">
        <f>Configuracion!$B$2</f>
        <v/>
      </c>
      <c r="I161" s="4">
        <f>Configuracion!$B$3</f>
        <v/>
      </c>
      <c r="J161" s="2">
        <f>IF(UPPER(Configuracion!$B$2)="ON",Configuracion!$B$4,"")</f>
        <v/>
      </c>
      <c r="K161" s="3">
        <f>IF(UPPER(Configuracion!$B$2)="ON",ROUND(C161*(1-Configuracion!$B$3),0),ROUND(C161,0))</f>
        <v/>
      </c>
    </row>
    <row r="162">
      <c r="A162" s="2" t="n">
        <v>161</v>
      </c>
      <c r="B162" s="2" t="inlineStr">
        <is>
          <t>Pendientes flor mini - Modelo 7</t>
        </is>
      </c>
      <c r="C162" s="3" t="n">
        <v>35</v>
      </c>
      <c r="D162" s="2" t="inlineStr">
        <is>
          <t>161.jpg</t>
        </is>
      </c>
      <c r="E162" s="2" t="inlineStr">
        <is>
          <t>Pendientes pequeños de flor con acabado fresco y ligero.</t>
        </is>
      </c>
      <c r="F162" s="2" t="inlineStr">
        <is>
          <t>Aretes</t>
        </is>
      </c>
      <c r="G162" s="2" t="n">
        <v>10</v>
      </c>
      <c r="H162" s="2">
        <f>Configuracion!$B$2</f>
        <v/>
      </c>
      <c r="I162" s="4">
        <f>Configuracion!$B$3</f>
        <v/>
      </c>
      <c r="J162" s="2">
        <f>IF(UPPER(Configuracion!$B$2)="ON",Configuracion!$B$4,"")</f>
        <v/>
      </c>
      <c r="K162" s="3">
        <f>IF(UPPER(Configuracion!$B$2)="ON",ROUND(C162*(1-Configuracion!$B$3),0),ROUND(C162,0))</f>
        <v/>
      </c>
    </row>
    <row r="163">
      <c r="A163" s="2" t="n">
        <v>162</v>
      </c>
      <c r="B163" s="2" t="inlineStr">
        <is>
          <t>Pendientes flor mini - Modelo 8</t>
        </is>
      </c>
      <c r="C163" s="3" t="n">
        <v>50</v>
      </c>
      <c r="D163" s="2" t="inlineStr">
        <is>
          <t>162.jpg</t>
        </is>
      </c>
      <c r="E163" s="2" t="inlineStr">
        <is>
          <t>Pendientes pequeños de flor con acabado fresco y ligero.</t>
        </is>
      </c>
      <c r="F163" s="2" t="inlineStr">
        <is>
          <t>Aretes</t>
        </is>
      </c>
      <c r="G163" s="2" t="n">
        <v>10</v>
      </c>
      <c r="H163" s="2">
        <f>Configuracion!$B$2</f>
        <v/>
      </c>
      <c r="I163" s="4">
        <f>Configuracion!$B$3</f>
        <v/>
      </c>
      <c r="J163" s="2">
        <f>IF(UPPER(Configuracion!$B$2)="ON",Configuracion!$B$4,"")</f>
        <v/>
      </c>
      <c r="K163" s="3">
        <f>IF(UPPER(Configuracion!$B$2)="ON",ROUND(C163*(1-Configuracion!$B$3),0),ROUND(C163,0))</f>
        <v/>
      </c>
    </row>
    <row r="164">
      <c r="A164" s="2" t="n">
        <v>163</v>
      </c>
      <c r="B164" s="2" t="inlineStr">
        <is>
          <t>Pendientes moño de encaje - Modelo 9</t>
        </is>
      </c>
      <c r="C164" s="3" t="n">
        <v>55</v>
      </c>
      <c r="D164" s="2" t="inlineStr">
        <is>
          <t>163.jpg</t>
        </is>
      </c>
      <c r="E164" s="2" t="inlineStr">
        <is>
          <t>Pendientes pequeños de flor con acabado fresco y ligero.</t>
        </is>
      </c>
      <c r="F164" s="2" t="inlineStr">
        <is>
          <t>Aretes</t>
        </is>
      </c>
      <c r="G164" s="2" t="n">
        <v>10</v>
      </c>
      <c r="H164" s="2">
        <f>Configuracion!$B$2</f>
        <v/>
      </c>
      <c r="I164" s="4">
        <f>Configuracion!$B$3</f>
        <v/>
      </c>
      <c r="J164" s="2">
        <f>IF(UPPER(Configuracion!$B$2)="ON",Configuracion!$B$4,"")</f>
        <v/>
      </c>
      <c r="K164" s="3">
        <f>IF(UPPER(Configuracion!$B$2)="ON",ROUND(C164*(1-Configuracion!$B$3),0),ROUND(C164,0))</f>
        <v/>
      </c>
    </row>
    <row r="165">
      <c r="A165" s="2" t="n">
        <v>164</v>
      </c>
      <c r="B165" s="2" t="inlineStr">
        <is>
          <t>Pendientes flor mini - Modelo 10</t>
        </is>
      </c>
      <c r="C165" s="3" t="n">
        <v>50</v>
      </c>
      <c r="D165" s="2" t="inlineStr">
        <is>
          <t>164.jpg</t>
        </is>
      </c>
      <c r="E165" s="2" t="inlineStr">
        <is>
          <t>Pendientes pequeños de flor con acabado fresco y ligero.</t>
        </is>
      </c>
      <c r="F165" s="2" t="inlineStr">
        <is>
          <t>Aretes</t>
        </is>
      </c>
      <c r="G165" s="2" t="n">
        <v>10</v>
      </c>
      <c r="H165" s="2">
        <f>Configuracion!$B$2</f>
        <v/>
      </c>
      <c r="I165" s="4">
        <f>Configuracion!$B$3</f>
        <v/>
      </c>
      <c r="J165" s="2">
        <f>IF(UPPER(Configuracion!$B$2)="ON",Configuracion!$B$4,"")</f>
        <v/>
      </c>
      <c r="K165" s="3">
        <f>IF(UPPER(Configuracion!$B$2)="ON",ROUND(C165*(1-Configuracion!$B$3),0),ROUND(C165,0))</f>
        <v/>
      </c>
    </row>
    <row r="166">
      <c r="A166" s="2" t="n">
        <v>165</v>
      </c>
      <c r="B166" s="2" t="inlineStr">
        <is>
          <t>Pendientes rasas doradas - Modelo 1</t>
        </is>
      </c>
      <c r="C166" s="3" t="n">
        <v>30</v>
      </c>
      <c r="D166" s="2" t="inlineStr">
        <is>
          <t>165.jpg</t>
        </is>
      </c>
      <c r="E166" s="2" t="inlineStr">
        <is>
          <t>Pendientes largos de flor con borlas y caída elegante.</t>
        </is>
      </c>
      <c r="F166" s="2" t="inlineStr">
        <is>
          <t>Aretes</t>
        </is>
      </c>
      <c r="G166" s="2" t="n">
        <v>5</v>
      </c>
      <c r="H166" s="2">
        <f>Configuracion!$B$2</f>
        <v/>
      </c>
      <c r="I166" s="4">
        <f>Configuracion!$B$3</f>
        <v/>
      </c>
      <c r="J166" s="2">
        <f>IF(UPPER(Configuracion!$B$2)="ON",Configuracion!$B$4,"")</f>
        <v/>
      </c>
      <c r="K166" s="3">
        <f>IF(UPPER(Configuracion!$B$2)="ON",ROUND(C166*(1-Configuracion!$B$3),0),ROUND(C166,0))</f>
        <v/>
      </c>
    </row>
    <row r="167">
      <c r="A167" s="2" t="n">
        <v>166</v>
      </c>
      <c r="B167" s="2" t="inlineStr">
        <is>
          <t>Pendientes mariposas doradas - Modelo 2</t>
        </is>
      </c>
      <c r="C167" s="3" t="n">
        <v>40</v>
      </c>
      <c r="D167" s="2" t="inlineStr">
        <is>
          <t>166.jpg</t>
        </is>
      </c>
      <c r="E167" s="2" t="inlineStr">
        <is>
          <t>Pendientes largos de flor con borlas y caída elegante.</t>
        </is>
      </c>
      <c r="F167" s="2" t="inlineStr">
        <is>
          <t>Aretes</t>
        </is>
      </c>
      <c r="G167" s="2" t="n">
        <v>10</v>
      </c>
      <c r="H167" s="2">
        <f>Configuracion!$B$2</f>
        <v/>
      </c>
      <c r="I167" s="4">
        <f>Configuracion!$B$3</f>
        <v/>
      </c>
      <c r="J167" s="2">
        <f>IF(UPPER(Configuracion!$B$2)="ON",Configuracion!$B$4,"")</f>
        <v/>
      </c>
      <c r="K167" s="3">
        <f>IF(UPPER(Configuracion!$B$2)="ON",ROUND(C167*(1-Configuracion!$B$3),0),ROUND(C167,0))</f>
        <v/>
      </c>
    </row>
    <row r="168">
      <c r="A168" s="2" t="n">
        <v>167</v>
      </c>
      <c r="B168" s="2" t="inlineStr">
        <is>
          <t>Pendientes mariposas con borlas - Modelo 3</t>
        </is>
      </c>
      <c r="C168" s="3" t="n">
        <v>40</v>
      </c>
      <c r="D168" s="2" t="inlineStr">
        <is>
          <t>167.jpg</t>
        </is>
      </c>
      <c r="E168" s="2" t="inlineStr">
        <is>
          <t>Pendientes largos de flor con borlas y caída elegante.</t>
        </is>
      </c>
      <c r="F168" s="2" t="inlineStr">
        <is>
          <t>Aretes</t>
        </is>
      </c>
      <c r="G168" s="2" t="n">
        <v>10</v>
      </c>
      <c r="H168" s="2">
        <f>Configuracion!$B$2</f>
        <v/>
      </c>
      <c r="I168" s="4">
        <f>Configuracion!$B$3</f>
        <v/>
      </c>
      <c r="J168" s="2">
        <f>IF(UPPER(Configuracion!$B$2)="ON",Configuracion!$B$4,"")</f>
        <v/>
      </c>
      <c r="K168" s="3">
        <f>IF(UPPER(Configuracion!$B$2)="ON",ROUND(C168*(1-Configuracion!$B$3),0),ROUND(C168,0))</f>
        <v/>
      </c>
    </row>
    <row r="169">
      <c r="A169" s="2" t="n">
        <v>168</v>
      </c>
      <c r="B169" s="2" t="inlineStr">
        <is>
          <t>Pendientes flores doradas - Modelo 4</t>
        </is>
      </c>
      <c r="C169" s="3" t="n">
        <v>90</v>
      </c>
      <c r="D169" s="2" t="inlineStr">
        <is>
          <t>168.jpg</t>
        </is>
      </c>
      <c r="E169" s="2" t="inlineStr">
        <is>
          <t>Pendientes largos de flor con borlas y caída elegante.</t>
        </is>
      </c>
      <c r="F169" s="2" t="inlineStr">
        <is>
          <t>Aretes</t>
        </is>
      </c>
      <c r="G169" s="2" t="n">
        <v>10</v>
      </c>
      <c r="H169" s="2">
        <f>Configuracion!$B$2</f>
        <v/>
      </c>
      <c r="I169" s="4">
        <f>Configuracion!$B$3</f>
        <v/>
      </c>
      <c r="J169" s="2">
        <f>IF(UPPER(Configuracion!$B$2)="ON",Configuracion!$B$4,"")</f>
        <v/>
      </c>
      <c r="K169" s="3">
        <f>IF(UPPER(Configuracion!$B$2)="ON",ROUND(C169*(1-Configuracion!$B$3),0),ROUND(C169,0))</f>
        <v/>
      </c>
    </row>
    <row r="170">
      <c r="A170" s="2" t="n">
        <v>169</v>
      </c>
      <c r="B170" s="2" t="inlineStr">
        <is>
          <t>Pendientes negros  - Modelo 5</t>
        </is>
      </c>
      <c r="C170" s="3" t="n">
        <v>45</v>
      </c>
      <c r="D170" s="2" t="inlineStr">
        <is>
          <t>169.jpg</t>
        </is>
      </c>
      <c r="E170" s="2" t="inlineStr">
        <is>
          <t>Pendientes largos de flor con borlas y caída elegante.</t>
        </is>
      </c>
      <c r="F170" s="2" t="inlineStr">
        <is>
          <t>Aretes</t>
        </is>
      </c>
      <c r="G170" s="2" t="n">
        <v>10</v>
      </c>
      <c r="H170" s="2">
        <f>Configuracion!$B$2</f>
        <v/>
      </c>
      <c r="I170" s="4">
        <f>Configuracion!$B$3</f>
        <v/>
      </c>
      <c r="J170" s="2">
        <f>IF(UPPER(Configuracion!$B$2)="ON",Configuracion!$B$4,"")</f>
        <v/>
      </c>
      <c r="K170" s="3">
        <f>IF(UPPER(Configuracion!$B$2)="ON",ROUND(C170*(1-Configuracion!$B$3),0),ROUND(C170,0))</f>
        <v/>
      </c>
    </row>
    <row r="171">
      <c r="A171" s="2" t="n">
        <v>170</v>
      </c>
      <c r="B171" s="2" t="inlineStr">
        <is>
          <t>Pendientes flor con borlas - Modelo 6</t>
        </is>
      </c>
      <c r="C171" s="3" t="n">
        <v>65</v>
      </c>
      <c r="D171" s="2" t="inlineStr">
        <is>
          <t>170.jpg</t>
        </is>
      </c>
      <c r="E171" s="2" t="inlineStr">
        <is>
          <t>Pendientes largos de flor con borlas y caída elegante.</t>
        </is>
      </c>
      <c r="F171" s="2" t="inlineStr">
        <is>
          <t>Aretes</t>
        </is>
      </c>
      <c r="G171" s="2" t="n">
        <v>10</v>
      </c>
      <c r="H171" s="2">
        <f>Configuracion!$B$2</f>
        <v/>
      </c>
      <c r="I171" s="4">
        <f>Configuracion!$B$3</f>
        <v/>
      </c>
      <c r="J171" s="2">
        <f>IF(UPPER(Configuracion!$B$2)="ON",Configuracion!$B$4,"")</f>
        <v/>
      </c>
      <c r="K171" s="3">
        <f>IF(UPPER(Configuracion!$B$2)="ON",ROUND(C171*(1-Configuracion!$B$3),0),ROUND(C171,0))</f>
        <v/>
      </c>
    </row>
    <row r="172">
      <c r="A172" s="2" t="n">
        <v>171</v>
      </c>
      <c r="B172" s="2" t="inlineStr">
        <is>
          <t>Pendientes flor con borlas - Modelo 7</t>
        </is>
      </c>
      <c r="C172" s="3" t="n">
        <v>60</v>
      </c>
      <c r="D172" s="2" t="inlineStr">
        <is>
          <t>171.jpg</t>
        </is>
      </c>
      <c r="E172" s="2" t="inlineStr">
        <is>
          <t>Pendientes largos de flor con borlas y caída elegante.</t>
        </is>
      </c>
      <c r="F172" s="2" t="inlineStr">
        <is>
          <t>Aretes</t>
        </is>
      </c>
      <c r="G172" s="2" t="n">
        <v>10</v>
      </c>
      <c r="H172" s="2">
        <f>Configuracion!$B$2</f>
        <v/>
      </c>
      <c r="I172" s="4">
        <f>Configuracion!$B$3</f>
        <v/>
      </c>
      <c r="J172" s="2">
        <f>IF(UPPER(Configuracion!$B$2)="ON",Configuracion!$B$4,"")</f>
        <v/>
      </c>
      <c r="K172" s="3">
        <f>IF(UPPER(Configuracion!$B$2)="ON",ROUND(C172*(1-Configuracion!$B$3),0),ROUND(C172,0))</f>
        <v/>
      </c>
    </row>
    <row r="173">
      <c r="A173" s="2" t="n">
        <v>172</v>
      </c>
      <c r="B173" s="2" t="inlineStr">
        <is>
          <t>Pendientes flor con borlas - Modelo 8</t>
        </is>
      </c>
      <c r="C173" s="3" t="n">
        <v>50</v>
      </c>
      <c r="D173" s="2" t="inlineStr">
        <is>
          <t>172.jpg</t>
        </is>
      </c>
      <c r="E173" s="2" t="inlineStr">
        <is>
          <t>Pendientes largos de flor con borlas y caída elegante.</t>
        </is>
      </c>
      <c r="F173" s="2" t="inlineStr">
        <is>
          <t>Aretes</t>
        </is>
      </c>
      <c r="G173" s="2" t="n">
        <v>10</v>
      </c>
      <c r="H173" s="2">
        <f>Configuracion!$B$2</f>
        <v/>
      </c>
      <c r="I173" s="4">
        <f>Configuracion!$B$3</f>
        <v/>
      </c>
      <c r="J173" s="2">
        <f>IF(UPPER(Configuracion!$B$2)="ON",Configuracion!$B$4,"")</f>
        <v/>
      </c>
      <c r="K173" s="3">
        <f>IF(UPPER(Configuracion!$B$2)="ON",ROUND(C173*(1-Configuracion!$B$3),0),ROUND(C173,0))</f>
        <v/>
      </c>
    </row>
    <row r="174">
      <c r="A174" s="2" t="n">
        <v>173</v>
      </c>
      <c r="B174" s="2" t="inlineStr">
        <is>
          <t>Pendientes pluma negra - Modelo 1</t>
        </is>
      </c>
      <c r="C174" s="3" t="n">
        <v>45</v>
      </c>
      <c r="D174" s="2" t="inlineStr">
        <is>
          <t>173.jpg</t>
        </is>
      </c>
      <c r="E174" s="2" t="inlineStr">
        <is>
          <t>Pendientes ligeros con plumas y cristales de estilo étnico.</t>
        </is>
      </c>
      <c r="F174" s="2" t="inlineStr">
        <is>
          <t>Aretes</t>
        </is>
      </c>
      <c r="G174" s="2" t="n">
        <v>5</v>
      </c>
      <c r="H174" s="2">
        <f>Configuracion!$B$2</f>
        <v/>
      </c>
      <c r="I174" s="4">
        <f>Configuracion!$B$3</f>
        <v/>
      </c>
      <c r="J174" s="2">
        <f>IF(UPPER(Configuracion!$B$2)="ON",Configuracion!$B$4,"")</f>
        <v/>
      </c>
      <c r="K174" s="3">
        <f>IF(UPPER(Configuracion!$B$2)="ON",ROUND(C174*(1-Configuracion!$B$3),0),ROUND(C174,0))</f>
        <v/>
      </c>
    </row>
    <row r="175">
      <c r="A175" s="2" t="n">
        <v>174</v>
      </c>
      <c r="B175" s="2" t="inlineStr">
        <is>
          <t>Pendientes pluma con cristal - Modelo 2</t>
        </is>
      </c>
      <c r="C175" s="3" t="n">
        <v>40</v>
      </c>
      <c r="D175" s="2" t="inlineStr">
        <is>
          <t>174.jpg</t>
        </is>
      </c>
      <c r="E175" s="2" t="inlineStr">
        <is>
          <t>Pendientes ligeros con plumas y cristales de estilo étnico.</t>
        </is>
      </c>
      <c r="F175" s="2" t="inlineStr">
        <is>
          <t>Aretes</t>
        </is>
      </c>
      <c r="G175" s="2" t="n">
        <v>5</v>
      </c>
      <c r="H175" s="2">
        <f>Configuracion!$B$2</f>
        <v/>
      </c>
      <c r="I175" s="4">
        <f>Configuracion!$B$3</f>
        <v/>
      </c>
      <c r="J175" s="2">
        <f>IF(UPPER(Configuracion!$B$2)="ON",Configuracion!$B$4,"")</f>
        <v/>
      </c>
      <c r="K175" s="3">
        <f>IF(UPPER(Configuracion!$B$2)="ON",ROUND(C175*(1-Configuracion!$B$3),0),ROUND(C175,0))</f>
        <v/>
      </c>
    </row>
    <row r="176">
      <c r="A176" s="2" t="n">
        <v>175</v>
      </c>
      <c r="B176" s="2" t="inlineStr">
        <is>
          <t>Pendientes pluma - Modelo 3</t>
        </is>
      </c>
      <c r="C176" s="3" t="n">
        <v>45</v>
      </c>
      <c r="D176" s="2" t="inlineStr">
        <is>
          <t>175.jpg</t>
        </is>
      </c>
      <c r="E176" s="2" t="inlineStr">
        <is>
          <t>Pendientes ligeros con plumas y cristales de estilo étnico.</t>
        </is>
      </c>
      <c r="F176" s="2" t="inlineStr">
        <is>
          <t>Aretes</t>
        </is>
      </c>
      <c r="G176" s="2" t="n">
        <v>2</v>
      </c>
      <c r="H176" s="2">
        <f>Configuracion!$B$2</f>
        <v/>
      </c>
      <c r="I176" s="4">
        <f>Configuracion!$B$3</f>
        <v/>
      </c>
      <c r="J176" s="2">
        <f>IF(UPPER(Configuracion!$B$2)="ON",Configuracion!$B$4,"")</f>
        <v/>
      </c>
      <c r="K176" s="3">
        <f>IF(UPPER(Configuracion!$B$2)="ON",ROUND(C176*(1-Configuracion!$B$3),0),ROUND(C176,0))</f>
        <v/>
      </c>
    </row>
    <row r="177">
      <c r="A177" s="2" t="n">
        <v>176</v>
      </c>
      <c r="B177" s="2" t="inlineStr">
        <is>
          <t>Pendientes costa aquamarina - Modelo 4</t>
        </is>
      </c>
      <c r="C177" s="3" t="n">
        <v>45</v>
      </c>
      <c r="D177" s="2" t="inlineStr">
        <is>
          <t>176.jpg</t>
        </is>
      </c>
      <c r="E177" s="2" t="inlineStr">
        <is>
          <t>Pendientes ligeros con plumas y cristales de estilo étnico.</t>
        </is>
      </c>
      <c r="F177" s="2" t="inlineStr">
        <is>
          <t>Aretes</t>
        </is>
      </c>
      <c r="G177" s="2" t="n">
        <v>5</v>
      </c>
      <c r="H177" s="2">
        <f>Configuracion!$B$2</f>
        <v/>
      </c>
      <c r="I177" s="4">
        <f>Configuracion!$B$3</f>
        <v/>
      </c>
      <c r="J177" s="2">
        <f>IF(UPPER(Configuracion!$B$2)="ON",Configuracion!$B$4,"")</f>
        <v/>
      </c>
      <c r="K177" s="3">
        <f>IF(UPPER(Configuracion!$B$2)="ON",ROUND(C177*(1-Configuracion!$B$3),0),ROUND(C177,0))</f>
        <v/>
      </c>
    </row>
    <row r="178">
      <c r="A178" s="2" t="n">
        <v>177</v>
      </c>
      <c r="B178" s="2" t="inlineStr">
        <is>
          <t>Pendientes pluma con cristal - Modelo 5</t>
        </is>
      </c>
      <c r="C178" s="3" t="n">
        <v>40</v>
      </c>
      <c r="D178" s="2" t="inlineStr">
        <is>
          <t>177.jpg</t>
        </is>
      </c>
      <c r="E178" s="2" t="inlineStr">
        <is>
          <t>Pendientes ligeros con plumas y cristales de estilo étnico.</t>
        </is>
      </c>
      <c r="F178" s="2" t="inlineStr">
        <is>
          <t>Aretes</t>
        </is>
      </c>
      <c r="G178" s="2" t="n">
        <v>3</v>
      </c>
      <c r="H178" s="2">
        <f>Configuracion!$B$2</f>
        <v/>
      </c>
      <c r="I178" s="4">
        <f>Configuracion!$B$3</f>
        <v/>
      </c>
      <c r="J178" s="2">
        <f>IF(UPPER(Configuracion!$B$2)="ON",Configuracion!$B$4,"")</f>
        <v/>
      </c>
      <c r="K178" s="3">
        <f>IF(UPPER(Configuracion!$B$2)="ON",ROUND(C178*(1-Configuracion!$B$3),0),ROUND(C178,0))</f>
        <v/>
      </c>
    </row>
    <row r="179">
      <c r="A179" s="2" t="n">
        <v>178</v>
      </c>
      <c r="B179" s="2" t="inlineStr">
        <is>
          <t>Collar Monet de perlas - Modelo 1</t>
        </is>
      </c>
      <c r="C179" s="3" t="n">
        <v>95</v>
      </c>
      <c r="D179" s="2" t="inlineStr">
        <is>
          <t>178.jpg</t>
        </is>
      </c>
      <c r="E179" s="2" t="inlineStr">
        <is>
          <t>Collar con perlas barrocas e inspiración artística Monet.</t>
        </is>
      </c>
      <c r="F179" s="2" t="inlineStr">
        <is>
          <t>Collares</t>
        </is>
      </c>
      <c r="G179" s="2" t="n">
        <v>5</v>
      </c>
      <c r="H179" s="2">
        <f>Configuracion!$B$2</f>
        <v/>
      </c>
      <c r="I179" s="4">
        <f>Configuracion!$B$3</f>
        <v/>
      </c>
      <c r="J179" s="2">
        <f>IF(UPPER(Configuracion!$B$2)="ON",Configuracion!$B$4,"")</f>
        <v/>
      </c>
      <c r="K179" s="3">
        <f>IF(UPPER(Configuracion!$B$2)="ON",ROUND(C179*(1-Configuracion!$B$3),0),ROUND(C179,0))</f>
        <v/>
      </c>
    </row>
    <row r="180">
      <c r="A180" s="2" t="n">
        <v>179</v>
      </c>
      <c r="B180" s="2" t="inlineStr">
        <is>
          <t>Collar Monet de perlas - Modelo 2</t>
        </is>
      </c>
      <c r="C180" s="3" t="n">
        <v>85</v>
      </c>
      <c r="D180" s="2" t="inlineStr">
        <is>
          <t>179.jpg</t>
        </is>
      </c>
      <c r="E180" s="2" t="inlineStr">
        <is>
          <t>Collar con perlas barrocas e inspiración artística Monet.</t>
        </is>
      </c>
      <c r="F180" s="2" t="inlineStr">
        <is>
          <t>Collares</t>
        </is>
      </c>
      <c r="G180" s="2" t="n">
        <v>5</v>
      </c>
      <c r="H180" s="2">
        <f>Configuracion!$B$2</f>
        <v/>
      </c>
      <c r="I180" s="4">
        <f>Configuracion!$B$3</f>
        <v/>
      </c>
      <c r="J180" s="2">
        <f>IF(UPPER(Configuracion!$B$2)="ON",Configuracion!$B$4,"")</f>
        <v/>
      </c>
      <c r="K180" s="3">
        <f>IF(UPPER(Configuracion!$B$2)="ON",ROUND(C180*(1-Configuracion!$B$3),0),ROUND(C180,0))</f>
        <v/>
      </c>
    </row>
    <row r="181">
      <c r="A181" s="2" t="n">
        <v>180</v>
      </c>
      <c r="B181" s="2" t="inlineStr">
        <is>
          <t>Collar Monet de perlas - Modelo 3</t>
        </is>
      </c>
      <c r="C181" s="3" t="n">
        <v>145</v>
      </c>
      <c r="D181" s="2" t="inlineStr">
        <is>
          <t>180.jpg</t>
        </is>
      </c>
      <c r="E181" s="2" t="inlineStr">
        <is>
          <t>Collar con perlas barrocas e inspiración artística Monet.</t>
        </is>
      </c>
      <c r="F181" s="2" t="inlineStr">
        <is>
          <t>Collares</t>
        </is>
      </c>
      <c r="G181" s="2" t="n">
        <v>5</v>
      </c>
      <c r="H181" s="2">
        <f>Configuracion!$B$2</f>
        <v/>
      </c>
      <c r="I181" s="4">
        <f>Configuracion!$B$3</f>
        <v/>
      </c>
      <c r="J181" s="2">
        <f>IF(UPPER(Configuracion!$B$2)="ON",Configuracion!$B$4,"")</f>
        <v/>
      </c>
      <c r="K181" s="3">
        <f>IF(UPPER(Configuracion!$B$2)="ON",ROUND(C181*(1-Configuracion!$B$3),0),ROUND(C181,0))</f>
        <v/>
      </c>
    </row>
    <row r="182">
      <c r="A182" s="2" t="n">
        <v>181</v>
      </c>
      <c r="B182" s="2" t="inlineStr">
        <is>
          <t>Collar Monet de perlas - Modelo 4</t>
        </is>
      </c>
      <c r="C182" s="3" t="n">
        <v>95</v>
      </c>
      <c r="D182" s="2" t="inlineStr">
        <is>
          <t>181.jpg</t>
        </is>
      </c>
      <c r="E182" s="2" t="inlineStr">
        <is>
          <t>Collar con perlas barrocas e inspiración artística Monet.</t>
        </is>
      </c>
      <c r="F182" s="2" t="inlineStr">
        <is>
          <t>Collares</t>
        </is>
      </c>
      <c r="G182" s="2" t="n">
        <v>5</v>
      </c>
      <c r="H182" s="2">
        <f>Configuracion!$B$2</f>
        <v/>
      </c>
      <c r="I182" s="4">
        <f>Configuracion!$B$3</f>
        <v/>
      </c>
      <c r="J182" s="2">
        <f>IF(UPPER(Configuracion!$B$2)="ON",Configuracion!$B$4,"")</f>
        <v/>
      </c>
      <c r="K182" s="3">
        <f>IF(UPPER(Configuracion!$B$2)="ON",ROUND(C182*(1-Configuracion!$B$3),0),ROUND(C182,0))</f>
        <v/>
      </c>
    </row>
    <row r="183">
      <c r="A183" s="2" t="n">
        <v>182</v>
      </c>
      <c r="B183" s="2" t="inlineStr">
        <is>
          <t>Collar Monet de perlas - Modelo 5</t>
        </is>
      </c>
      <c r="C183" s="3" t="n">
        <v>95</v>
      </c>
      <c r="D183" s="2" t="inlineStr">
        <is>
          <t>182.jpg</t>
        </is>
      </c>
      <c r="E183" s="2" t="inlineStr">
        <is>
          <t>Collar con perlas barrocas e inspiración artística Monet.</t>
        </is>
      </c>
      <c r="F183" s="2" t="inlineStr">
        <is>
          <t>Collares</t>
        </is>
      </c>
      <c r="G183" s="2" t="n">
        <v>5</v>
      </c>
      <c r="H183" s="2">
        <f>Configuracion!$B$2</f>
        <v/>
      </c>
      <c r="I183" s="4">
        <f>Configuracion!$B$3</f>
        <v/>
      </c>
      <c r="J183" s="2">
        <f>IF(UPPER(Configuracion!$B$2)="ON",Configuracion!$B$4,"")</f>
        <v/>
      </c>
      <c r="K183" s="3">
        <f>IF(UPPER(Configuracion!$B$2)="ON",ROUND(C183*(1-Configuracion!$B$3),0),ROUND(C183,0))</f>
        <v/>
      </c>
    </row>
    <row r="184">
      <c r="A184" s="2" t="n">
        <v>183</v>
      </c>
      <c r="B184" s="2" t="inlineStr">
        <is>
          <t>Collar Monet flor azul - Modelo 6</t>
        </is>
      </c>
      <c r="C184" s="3" t="n">
        <v>115</v>
      </c>
      <c r="D184" s="2" t="inlineStr">
        <is>
          <t>183.jpg</t>
        </is>
      </c>
      <c r="E184" s="2" t="inlineStr">
        <is>
          <t>Collar con perlas barrocas e inspiración artística Monet.</t>
        </is>
      </c>
      <c r="F184" s="2" t="inlineStr">
        <is>
          <t>Collares</t>
        </is>
      </c>
      <c r="G184" s="2" t="n">
        <v>5</v>
      </c>
      <c r="H184" s="2">
        <f>Configuracion!$B$2</f>
        <v/>
      </c>
      <c r="I184" s="4">
        <f>Configuracion!$B$3</f>
        <v/>
      </c>
      <c r="J184" s="2">
        <f>IF(UPPER(Configuracion!$B$2)="ON",Configuracion!$B$4,"")</f>
        <v/>
      </c>
      <c r="K184" s="3">
        <f>IF(UPPER(Configuracion!$B$2)="ON",ROUND(C184*(1-Configuracion!$B$3),0),ROUND(C184,0))</f>
        <v/>
      </c>
    </row>
    <row r="185">
      <c r="A185" s="2" t="n">
        <v>184</v>
      </c>
      <c r="B185" s="2" t="inlineStr">
        <is>
          <t>Collar Monet de perlas - Modelo 7</t>
        </is>
      </c>
      <c r="C185" s="3" t="n">
        <v>80</v>
      </c>
      <c r="D185" s="2" t="inlineStr">
        <is>
          <t>184.jpg</t>
        </is>
      </c>
      <c r="E185" s="2" t="inlineStr">
        <is>
          <t>Collar con perlas barrocas e inspiración artística Monet.</t>
        </is>
      </c>
      <c r="F185" s="2" t="inlineStr">
        <is>
          <t>Collares</t>
        </is>
      </c>
      <c r="G185" s="2" t="n">
        <v>5</v>
      </c>
      <c r="H185" s="2">
        <f>Configuracion!$B$2</f>
        <v/>
      </c>
      <c r="I185" s="4">
        <f>Configuracion!$B$3</f>
        <v/>
      </c>
      <c r="J185" s="2">
        <f>IF(UPPER(Configuracion!$B$2)="ON",Configuracion!$B$4,"")</f>
        <v/>
      </c>
      <c r="K185" s="3">
        <f>IF(UPPER(Configuracion!$B$2)="ON",ROUND(C185*(1-Configuracion!$B$3),0),ROUND(C185,0))</f>
        <v/>
      </c>
    </row>
    <row r="186">
      <c r="A186" s="2" t="n">
        <v>185</v>
      </c>
      <c r="B186" s="2" t="inlineStr">
        <is>
          <t>Collar Monet de perlas - Modelo 8</t>
        </is>
      </c>
      <c r="C186" s="3" t="n">
        <v>105</v>
      </c>
      <c r="D186" s="2" t="inlineStr">
        <is>
          <t>185.jpg</t>
        </is>
      </c>
      <c r="E186" s="2" t="inlineStr">
        <is>
          <t>Collar con perlas barrocas e inspiración artística Monet.</t>
        </is>
      </c>
      <c r="F186" s="2" t="inlineStr">
        <is>
          <t>Collares</t>
        </is>
      </c>
      <c r="G186" s="2" t="n">
        <v>5</v>
      </c>
      <c r="H186" s="2">
        <f>Configuracion!$B$2</f>
        <v/>
      </c>
      <c r="I186" s="4">
        <f>Configuracion!$B$3</f>
        <v/>
      </c>
      <c r="J186" s="2">
        <f>IF(UPPER(Configuracion!$B$2)="ON",Configuracion!$B$4,"")</f>
        <v/>
      </c>
      <c r="K186" s="3">
        <f>IF(UPPER(Configuracion!$B$2)="ON",ROUND(C186*(1-Configuracion!$B$3),0),ROUND(C186,0))</f>
        <v/>
      </c>
    </row>
    <row r="187">
      <c r="A187" s="2" t="n">
        <v>186</v>
      </c>
      <c r="B187" s="2" t="inlineStr">
        <is>
          <t>Collar Monet de perlas - Modelo 9</t>
        </is>
      </c>
      <c r="C187" s="3" t="n">
        <v>105</v>
      </c>
      <c r="D187" s="2" t="inlineStr">
        <is>
          <t>186.jpg</t>
        </is>
      </c>
      <c r="E187" s="2" t="inlineStr">
        <is>
          <t>Collar con perlas barrocas e inspiración artística Monet.</t>
        </is>
      </c>
      <c r="F187" s="2" t="inlineStr">
        <is>
          <t>Collares</t>
        </is>
      </c>
      <c r="G187" s="2" t="n">
        <v>5</v>
      </c>
      <c r="H187" s="2">
        <f>Configuracion!$B$2</f>
        <v/>
      </c>
      <c r="I187" s="4">
        <f>Configuracion!$B$3</f>
        <v/>
      </c>
      <c r="J187" s="2">
        <f>IF(UPPER(Configuracion!$B$2)="ON",Configuracion!$B$4,"")</f>
        <v/>
      </c>
      <c r="K187" s="3">
        <f>IF(UPPER(Configuracion!$B$2)="ON",ROUND(C187*(1-Configuracion!$B$3),0),ROUND(C187,0))</f>
        <v/>
      </c>
    </row>
    <row r="188">
      <c r="A188" s="2" t="n">
        <v>187</v>
      </c>
      <c r="B188" s="2" t="inlineStr">
        <is>
          <t>Pendientes de fresa - Modelo 1</t>
        </is>
      </c>
      <c r="C188" s="3" t="n">
        <v>90</v>
      </c>
      <c r="D188" s="2" t="inlineStr">
        <is>
          <t>187.jpg</t>
        </is>
      </c>
      <c r="E188" s="2" t="inlineStr">
        <is>
          <t>Pendientes dulces con detalle de fresa y esmalte de color.</t>
        </is>
      </c>
      <c r="F188" s="2" t="inlineStr">
        <is>
          <t>Aretes</t>
        </is>
      </c>
      <c r="G188" s="2" t="n">
        <v>10</v>
      </c>
      <c r="H188" s="2">
        <f>Configuracion!$B$2</f>
        <v/>
      </c>
      <c r="I188" s="4">
        <f>Configuracion!$B$3</f>
        <v/>
      </c>
      <c r="J188" s="2">
        <f>IF(UPPER(Configuracion!$B$2)="ON",Configuracion!$B$4,"")</f>
        <v/>
      </c>
      <c r="K188" s="3">
        <f>IF(UPPER(Configuracion!$B$2)="ON",ROUND(C188*(1-Configuracion!$B$3),0),ROUND(C188,0))</f>
        <v/>
      </c>
    </row>
    <row r="189">
      <c r="A189" s="2" t="n">
        <v>188</v>
      </c>
      <c r="B189" s="2" t="inlineStr">
        <is>
          <t>Pendientes de flores - Modelo 2</t>
        </is>
      </c>
      <c r="C189" s="3" t="n">
        <v>105</v>
      </c>
      <c r="D189" s="2" t="inlineStr">
        <is>
          <t>188.jpg</t>
        </is>
      </c>
      <c r="E189" s="2" t="inlineStr">
        <is>
          <t>Pendientes dulces con detalle de fresa y esmalte de color.</t>
        </is>
      </c>
      <c r="F189" s="2" t="inlineStr">
        <is>
          <t>Aretes</t>
        </is>
      </c>
      <c r="G189" s="2" t="n">
        <v>10</v>
      </c>
      <c r="H189" s="2">
        <f>Configuracion!$B$2</f>
        <v/>
      </c>
      <c r="I189" s="4">
        <f>Configuracion!$B$3</f>
        <v/>
      </c>
      <c r="J189" s="2">
        <f>IF(UPPER(Configuracion!$B$2)="ON",Configuracion!$B$4,"")</f>
        <v/>
      </c>
      <c r="K189" s="3">
        <f>IF(UPPER(Configuracion!$B$2)="ON",ROUND(C189*(1-Configuracion!$B$3),0),ROUND(C189,0))</f>
        <v/>
      </c>
    </row>
    <row r="190">
      <c r="A190" s="2" t="n">
        <v>189</v>
      </c>
      <c r="B190" s="2" t="inlineStr">
        <is>
          <t>Pendientes de fresa - Modelo 3</t>
        </is>
      </c>
      <c r="C190" s="3" t="n">
        <v>95</v>
      </c>
      <c r="D190" s="2" t="inlineStr">
        <is>
          <t>189.jpg</t>
        </is>
      </c>
      <c r="E190" s="2" t="inlineStr">
        <is>
          <t>Pendientes dulces con detalle de fresa y esmalte de color.</t>
        </is>
      </c>
      <c r="F190" s="2" t="inlineStr">
        <is>
          <t>Aretes</t>
        </is>
      </c>
      <c r="G190" s="2" t="n">
        <v>10</v>
      </c>
      <c r="H190" s="2">
        <f>Configuracion!$B$2</f>
        <v/>
      </c>
      <c r="I190" s="4">
        <f>Configuracion!$B$3</f>
        <v/>
      </c>
      <c r="J190" s="2">
        <f>IF(UPPER(Configuracion!$B$2)="ON",Configuracion!$B$4,"")</f>
        <v/>
      </c>
      <c r="K190" s="3">
        <f>IF(UPPER(Configuracion!$B$2)="ON",ROUND(C190*(1-Configuracion!$B$3),0),ROUND(C190,0))</f>
        <v/>
      </c>
    </row>
    <row r="191">
      <c r="A191" s="2" t="n">
        <v>190</v>
      </c>
      <c r="B191" s="2" t="inlineStr">
        <is>
          <t>Accesorio barroco de perla - Modelo 1</t>
        </is>
      </c>
      <c r="C191" s="3" t="n">
        <v>85</v>
      </c>
      <c r="D191" s="2" t="inlineStr">
        <is>
          <t>190.jpg</t>
        </is>
      </c>
      <c r="E191" s="2" t="inlineStr">
        <is>
          <t>Accesorio barroco con perla natural y aire vintage.</t>
        </is>
      </c>
      <c r="F191" s="2" t="inlineStr">
        <is>
          <t>Anillos</t>
        </is>
      </c>
      <c r="G191" s="2" t="n">
        <v>10</v>
      </c>
      <c r="H191" s="2">
        <f>Configuracion!$B$2</f>
        <v/>
      </c>
      <c r="I191" s="4">
        <f>Configuracion!$B$3</f>
        <v/>
      </c>
      <c r="J191" s="2">
        <f>IF(UPPER(Configuracion!$B$2)="ON",Configuracion!$B$4,"")</f>
        <v/>
      </c>
      <c r="K191" s="3">
        <f>IF(UPPER(Configuracion!$B$2)="ON",ROUND(C191*(1-Configuracion!$B$3),0),ROUND(C191,0))</f>
        <v/>
      </c>
    </row>
    <row r="192">
      <c r="A192" s="2" t="n">
        <v>191</v>
      </c>
      <c r="B192" s="2" t="inlineStr">
        <is>
          <t>Accesorio barroco de perla - Modelo 2</t>
        </is>
      </c>
      <c r="C192" s="3" t="n">
        <v>80</v>
      </c>
      <c r="D192" s="2" t="inlineStr">
        <is>
          <t>191.jpg</t>
        </is>
      </c>
      <c r="E192" s="2" t="inlineStr">
        <is>
          <t>Accesorio barroco con perla natural y aire vintage.</t>
        </is>
      </c>
      <c r="F192" s="2" t="inlineStr">
        <is>
          <t>Anillos</t>
        </is>
      </c>
      <c r="G192" s="2" t="n">
        <v>10</v>
      </c>
      <c r="H192" s="2">
        <f>Configuracion!$B$2</f>
        <v/>
      </c>
      <c r="I192" s="4">
        <f>Configuracion!$B$3</f>
        <v/>
      </c>
      <c r="J192" s="2">
        <f>IF(UPPER(Configuracion!$B$2)="ON",Configuracion!$B$4,"")</f>
        <v/>
      </c>
      <c r="K192" s="3">
        <f>IF(UPPER(Configuracion!$B$2)="ON",ROUND(C192*(1-Configuracion!$B$3),0),ROUND(C192,0))</f>
        <v/>
      </c>
    </row>
    <row r="193">
      <c r="A193" s="2" t="n">
        <v>192</v>
      </c>
      <c r="B193" s="2" t="inlineStr">
        <is>
          <t>Accesorio barroco de perla - Modelo 3</t>
        </is>
      </c>
      <c r="C193" s="3" t="n">
        <v>80</v>
      </c>
      <c r="D193" s="2" t="inlineStr">
        <is>
          <t>192.jpg</t>
        </is>
      </c>
      <c r="E193" s="2" t="inlineStr">
        <is>
          <t>Accesorio barroco con perla natural y aire vintage.</t>
        </is>
      </c>
      <c r="F193" s="2" t="inlineStr">
        <is>
          <t>Anillos</t>
        </is>
      </c>
      <c r="G193" s="2" t="n">
        <v>10</v>
      </c>
      <c r="H193" s="2">
        <f>Configuracion!$B$2</f>
        <v/>
      </c>
      <c r="I193" s="4">
        <f>Configuracion!$B$3</f>
        <v/>
      </c>
      <c r="J193" s="2">
        <f>IF(UPPER(Configuracion!$B$2)="ON",Configuracion!$B$4,"")</f>
        <v/>
      </c>
      <c r="K193" s="3">
        <f>IF(UPPER(Configuracion!$B$2)="ON",ROUND(C193*(1-Configuracion!$B$3),0),ROUND(C193,0))</f>
        <v/>
      </c>
    </row>
    <row r="194">
      <c r="A194" s="2" t="n">
        <v>193</v>
      </c>
      <c r="B194" s="2" t="inlineStr">
        <is>
          <t>Accesorio barroco de perla - Modelo 4</t>
        </is>
      </c>
      <c r="C194" s="3" t="n">
        <v>80</v>
      </c>
      <c r="D194" s="2" t="inlineStr">
        <is>
          <t>193.jpg</t>
        </is>
      </c>
      <c r="E194" s="2" t="inlineStr">
        <is>
          <t>Accesorio barroco con perla natural y aire vintage.</t>
        </is>
      </c>
      <c r="F194" s="2" t="inlineStr">
        <is>
          <t>Anillos</t>
        </is>
      </c>
      <c r="G194" s="2" t="n">
        <v>10</v>
      </c>
      <c r="H194" s="2">
        <f>Configuracion!$B$2</f>
        <v/>
      </c>
      <c r="I194" s="4">
        <f>Configuracion!$B$3</f>
        <v/>
      </c>
      <c r="J194" s="2">
        <f>IF(UPPER(Configuracion!$B$2)="ON",Configuracion!$B$4,"")</f>
        <v/>
      </c>
      <c r="K194" s="3">
        <f>IF(UPPER(Configuracion!$B$2)="ON",ROUND(C194*(1-Configuracion!$B$3),0),ROUND(C194,0))</f>
        <v/>
      </c>
    </row>
    <row r="195">
      <c r="A195" s="2" t="n">
        <v>194</v>
      </c>
      <c r="B195" s="2" t="inlineStr">
        <is>
          <t>Accesorio barroco de perla - Modelo 5</t>
        </is>
      </c>
      <c r="C195" s="3" t="n">
        <v>80</v>
      </c>
      <c r="D195" s="2" t="inlineStr">
        <is>
          <t>194.jpg</t>
        </is>
      </c>
      <c r="E195" s="2" t="inlineStr">
        <is>
          <t>Accesorio barroco con perla natural y aire vintage.</t>
        </is>
      </c>
      <c r="F195" s="2" t="inlineStr">
        <is>
          <t>Anillos</t>
        </is>
      </c>
      <c r="G195" s="2" t="n">
        <v>10</v>
      </c>
      <c r="H195" s="2">
        <f>Configuracion!$B$2</f>
        <v/>
      </c>
      <c r="I195" s="4">
        <f>Configuracion!$B$3</f>
        <v/>
      </c>
      <c r="J195" s="2">
        <f>IF(UPPER(Configuracion!$B$2)="ON",Configuracion!$B$4,"")</f>
        <v/>
      </c>
      <c r="K195" s="3">
        <f>IF(UPPER(Configuracion!$B$2)="ON",ROUND(C195*(1-Configuracion!$B$3),0),ROUND(C195,0))</f>
        <v/>
      </c>
    </row>
    <row r="196">
      <c r="A196" s="2" t="n">
        <v>195</v>
      </c>
      <c r="B196" s="2" t="inlineStr">
        <is>
          <t>Accesorio barroco de perla - Modelo 6</t>
        </is>
      </c>
      <c r="C196" s="3" t="n">
        <v>75</v>
      </c>
      <c r="D196" s="2" t="inlineStr">
        <is>
          <t>195.jpg</t>
        </is>
      </c>
      <c r="E196" s="2" t="inlineStr">
        <is>
          <t>Accesorio barroco con perla natural y aire vintage.</t>
        </is>
      </c>
      <c r="F196" s="2" t="inlineStr">
        <is>
          <t>Anillos</t>
        </is>
      </c>
      <c r="G196" s="2" t="n">
        <v>10</v>
      </c>
      <c r="H196" s="2">
        <f>Configuracion!$B$2</f>
        <v/>
      </c>
      <c r="I196" s="4">
        <f>Configuracion!$B$3</f>
        <v/>
      </c>
      <c r="J196" s="2">
        <f>IF(UPPER(Configuracion!$B$2)="ON",Configuracion!$B$4,"")</f>
        <v/>
      </c>
      <c r="K196" s="3">
        <f>IF(UPPER(Configuracion!$B$2)="ON",ROUND(C196*(1-Configuracion!$B$3),0),ROUND(C196,0))</f>
        <v/>
      </c>
    </row>
    <row r="197">
      <c r="A197" s="2" t="n">
        <v>196</v>
      </c>
      <c r="B197" s="2" t="inlineStr">
        <is>
          <t>Accesorio barroco de perla - Modelo 7</t>
        </is>
      </c>
      <c r="C197" s="3" t="n">
        <v>80</v>
      </c>
      <c r="D197" s="2" t="inlineStr">
        <is>
          <t>196.jpg</t>
        </is>
      </c>
      <c r="E197" s="2" t="inlineStr">
        <is>
          <t>Accesorio barroco con perla natural y aire vintage.</t>
        </is>
      </c>
      <c r="F197" s="2" t="inlineStr">
        <is>
          <t>Anillos</t>
        </is>
      </c>
      <c r="G197" s="2" t="n">
        <v>10</v>
      </c>
      <c r="H197" s="2">
        <f>Configuracion!$B$2</f>
        <v/>
      </c>
      <c r="I197" s="4">
        <f>Configuracion!$B$3</f>
        <v/>
      </c>
      <c r="J197" s="2">
        <f>IF(UPPER(Configuracion!$B$2)="ON",Configuracion!$B$4,"")</f>
        <v/>
      </c>
      <c r="K197" s="3">
        <f>IF(UPPER(Configuracion!$B$2)="ON",ROUND(C197*(1-Configuracion!$B$3),0),ROUND(C197,0))</f>
        <v/>
      </c>
    </row>
    <row r="198">
      <c r="A198" s="2" t="n">
        <v>197</v>
      </c>
      <c r="B198" s="2" t="inlineStr">
        <is>
          <t>Accesorio barroco de perla - Modelo 8</t>
        </is>
      </c>
      <c r="C198" s="3" t="n">
        <v>80</v>
      </c>
      <c r="D198" s="2" t="inlineStr">
        <is>
          <t>197.jpg</t>
        </is>
      </c>
      <c r="E198" s="2" t="inlineStr">
        <is>
          <t>Accesorio barroco con perla natural y aire vintage.</t>
        </is>
      </c>
      <c r="F198" s="2" t="inlineStr">
        <is>
          <t>Anillos</t>
        </is>
      </c>
      <c r="G198" s="2" t="n">
        <v>10</v>
      </c>
      <c r="H198" s="2">
        <f>Configuracion!$B$2</f>
        <v/>
      </c>
      <c r="I198" s="4">
        <f>Configuracion!$B$3</f>
        <v/>
      </c>
      <c r="J198" s="2">
        <f>IF(UPPER(Configuracion!$B$2)="ON",Configuracion!$B$4,"")</f>
        <v/>
      </c>
      <c r="K198" s="3">
        <f>IF(UPPER(Configuracion!$B$2)="ON",ROUND(C198*(1-Configuracion!$B$3),0),ROUND(C198,0))</f>
        <v/>
      </c>
    </row>
    <row r="199">
      <c r="A199" s="2" t="n">
        <v>198</v>
      </c>
      <c r="B199" s="2" t="inlineStr">
        <is>
          <t>Accesorio barroco de perla - Modelo 9</t>
        </is>
      </c>
      <c r="C199" s="3" t="n">
        <v>80</v>
      </c>
      <c r="D199" s="2" t="inlineStr">
        <is>
          <t>198.jpg</t>
        </is>
      </c>
      <c r="E199" s="2" t="inlineStr">
        <is>
          <t>Accesorio barroco con perla natural y aire vintage.</t>
        </is>
      </c>
      <c r="F199" s="2" t="inlineStr">
        <is>
          <t>Anillos</t>
        </is>
      </c>
      <c r="G199" s="2" t="n">
        <v>10</v>
      </c>
      <c r="H199" s="2">
        <f>Configuracion!$B$2</f>
        <v/>
      </c>
      <c r="I199" s="4">
        <f>Configuracion!$B$3</f>
        <v/>
      </c>
      <c r="J199" s="2">
        <f>IF(UPPER(Configuracion!$B$2)="ON",Configuracion!$B$4,"")</f>
        <v/>
      </c>
      <c r="K199" s="3">
        <f>IF(UPPER(Configuracion!$B$2)="ON",ROUND(C199*(1-Configuracion!$B$3),0),ROUND(C199,0))</f>
        <v/>
      </c>
    </row>
    <row r="200">
      <c r="A200" s="2" t="n">
        <v>199</v>
      </c>
      <c r="B200" s="2" t="inlineStr">
        <is>
          <t>Anillo barroco abierto - Modelo 1</t>
        </is>
      </c>
      <c r="C200" s="3" t="n">
        <v>110</v>
      </c>
      <c r="D200" s="2" t="inlineStr">
        <is>
          <t>199.jpg</t>
        </is>
      </c>
      <c r="E200" s="2" t="inlineStr">
        <is>
          <t>Anillo abierto de inspiración barroca con acabado elegante.</t>
        </is>
      </c>
      <c r="F200" s="2" t="inlineStr">
        <is>
          <t>Anillos</t>
        </is>
      </c>
      <c r="G200" s="2" t="n">
        <v>10</v>
      </c>
      <c r="H200" s="2">
        <f>Configuracion!$B$2</f>
        <v/>
      </c>
      <c r="I200" s="4">
        <f>Configuracion!$B$3</f>
        <v/>
      </c>
      <c r="J200" s="2">
        <f>IF(UPPER(Configuracion!$B$2)="ON",Configuracion!$B$4,"")</f>
        <v/>
      </c>
      <c r="K200" s="3">
        <f>IF(UPPER(Configuracion!$B$2)="ON",ROUND(C200*(1-Configuracion!$B$3),0),ROUND(C200,0))</f>
        <v/>
      </c>
    </row>
    <row r="201">
      <c r="A201" s="2" t="n">
        <v>200</v>
      </c>
      <c r="B201" s="2" t="inlineStr">
        <is>
          <t>Anillo barroco abierto - Modelo 2</t>
        </is>
      </c>
      <c r="C201" s="3" t="n">
        <v>70</v>
      </c>
      <c r="D201" s="2" t="inlineStr">
        <is>
          <t>200.jpg</t>
        </is>
      </c>
      <c r="E201" s="2" t="inlineStr">
        <is>
          <t>Anillo abierto de inspiración barroca con acabado elegante.</t>
        </is>
      </c>
      <c r="F201" s="2" t="inlineStr">
        <is>
          <t>Anillos</t>
        </is>
      </c>
      <c r="G201" s="2" t="n">
        <v>5</v>
      </c>
      <c r="H201" s="2">
        <f>Configuracion!$B$2</f>
        <v/>
      </c>
      <c r="I201" s="4">
        <f>Configuracion!$B$3</f>
        <v/>
      </c>
      <c r="J201" s="2">
        <f>IF(UPPER(Configuracion!$B$2)="ON",Configuracion!$B$4,"")</f>
        <v/>
      </c>
      <c r="K201" s="3">
        <f>IF(UPPER(Configuracion!$B$2)="ON",ROUND(C201*(1-Configuracion!$B$3),0),ROUND(C201,0))</f>
        <v/>
      </c>
    </row>
    <row r="202">
      <c r="A202" s="2" t="n">
        <v>201</v>
      </c>
      <c r="B202" s="2" t="inlineStr">
        <is>
          <t>Anillo barroco abierto - Modelo 3</t>
        </is>
      </c>
      <c r="C202" s="3" t="n">
        <v>65</v>
      </c>
      <c r="D202" s="2" t="inlineStr">
        <is>
          <t>201.jpg</t>
        </is>
      </c>
      <c r="E202" s="2" t="inlineStr">
        <is>
          <t>Anillo abierto de inspiración barroca con acabado elegante.</t>
        </is>
      </c>
      <c r="F202" s="2" t="inlineStr">
        <is>
          <t>Anillos</t>
        </is>
      </c>
      <c r="G202" s="2" t="n">
        <v>10</v>
      </c>
      <c r="H202" s="2">
        <f>Configuracion!$B$2</f>
        <v/>
      </c>
      <c r="I202" s="4">
        <f>Configuracion!$B$3</f>
        <v/>
      </c>
      <c r="J202" s="2">
        <f>IF(UPPER(Configuracion!$B$2)="ON",Configuracion!$B$4,"")</f>
        <v/>
      </c>
      <c r="K202" s="3">
        <f>IF(UPPER(Configuracion!$B$2)="ON",ROUND(C202*(1-Configuracion!$B$3),0),ROUND(C202,0))</f>
        <v/>
      </c>
    </row>
    <row r="203">
      <c r="A203" s="2" t="n">
        <v>202</v>
      </c>
      <c r="B203" s="2" t="inlineStr">
        <is>
          <t>Pendientes hojas en degrade- Modelo 1</t>
        </is>
      </c>
      <c r="C203" s="3" t="n">
        <v>40</v>
      </c>
      <c r="D203" s="2" t="inlineStr">
        <is>
          <t>202.jpg</t>
        </is>
      </c>
      <c r="E203" s="2" t="inlineStr">
        <is>
          <t>Pendientes con retrato decorativo, flores y borlas.</t>
        </is>
      </c>
      <c r="F203" s="2" t="inlineStr">
        <is>
          <t>Aretes</t>
        </is>
      </c>
      <c r="G203" s="2" t="n">
        <v>5</v>
      </c>
      <c r="H203" s="2">
        <f>Configuracion!$B$2</f>
        <v/>
      </c>
      <c r="I203" s="4">
        <f>Configuracion!$B$3</f>
        <v/>
      </c>
      <c r="J203" s="2">
        <f>IF(UPPER(Configuracion!$B$2)="ON",Configuracion!$B$4,"")</f>
        <v/>
      </c>
      <c r="K203" s="3">
        <f>IF(UPPER(Configuracion!$B$2)="ON",ROUND(C203*(1-Configuracion!$B$3),0),ROUND(C203,0))</f>
        <v/>
      </c>
    </row>
    <row r="204">
      <c r="A204" s="2" t="n">
        <v>203</v>
      </c>
      <c r="B204" s="2" t="inlineStr">
        <is>
          <t>Pendientes retrato con borlas - Modelo 2</t>
        </is>
      </c>
      <c r="C204" s="3" t="n">
        <v>40</v>
      </c>
      <c r="D204" s="2" t="inlineStr">
        <is>
          <t>203.jpg</t>
        </is>
      </c>
      <c r="E204" s="2" t="inlineStr">
        <is>
          <t>Pendientes con retrato decorativo, flores y borlas.</t>
        </is>
      </c>
      <c r="F204" s="2" t="inlineStr">
        <is>
          <t>Aretes</t>
        </is>
      </c>
      <c r="G204" s="2" t="n">
        <v>5</v>
      </c>
      <c r="H204" s="2">
        <f>Configuracion!$B$2</f>
        <v/>
      </c>
      <c r="I204" s="4">
        <f>Configuracion!$B$3</f>
        <v/>
      </c>
      <c r="J204" s="2">
        <f>IF(UPPER(Configuracion!$B$2)="ON",Configuracion!$B$4,"")</f>
        <v/>
      </c>
      <c r="K204" s="3">
        <f>IF(UPPER(Configuracion!$B$2)="ON",ROUND(C204*(1-Configuracion!$B$3),0),ROUND(C204,0))</f>
        <v/>
      </c>
    </row>
    <row r="205">
      <c r="A205" s="2" t="n">
        <v>204</v>
      </c>
      <c r="B205" s="2" t="inlineStr">
        <is>
          <t>Pendientes y pulsera - Modelo 1</t>
        </is>
      </c>
      <c r="C205" s="3" t="n">
        <v>50</v>
      </c>
      <c r="D205" s="2" t="inlineStr">
        <is>
          <t>204.jpg</t>
        </is>
      </c>
      <c r="E205" s="2" t="inlineStr">
        <is>
          <t>Pendientes de mariposa con perla y detalle verde.</t>
        </is>
      </c>
      <c r="F205" s="2" t="inlineStr">
        <is>
          <t>Aretes</t>
        </is>
      </c>
      <c r="G205" s="2" t="n">
        <v>2</v>
      </c>
      <c r="H205" s="2">
        <f>Configuracion!$B$2</f>
        <v/>
      </c>
      <c r="I205" s="4">
        <f>Configuracion!$B$3</f>
        <v/>
      </c>
      <c r="J205" s="2">
        <f>IF(UPPER(Configuracion!$B$2)="ON",Configuracion!$B$4,"")</f>
        <v/>
      </c>
      <c r="K205" s="3">
        <f>IF(UPPER(Configuracion!$B$2)="ON",ROUND(C205*(1-Configuracion!$B$3),0),ROUND(C205,0))</f>
        <v/>
      </c>
    </row>
    <row r="206">
      <c r="A206" s="2" t="n">
        <v>205</v>
      </c>
      <c r="B206" s="2" t="inlineStr">
        <is>
          <t>Pendientes y collar negro - Modelo 2</t>
        </is>
      </c>
      <c r="C206" s="3" t="n">
        <v>55</v>
      </c>
      <c r="D206" s="2" t="inlineStr">
        <is>
          <t>205.jpg</t>
        </is>
      </c>
      <c r="E206" s="2" t="inlineStr">
        <is>
          <t>Pendientes de mariposa con perla y detalle verde.</t>
        </is>
      </c>
      <c r="F206" s="2" t="inlineStr">
        <is>
          <t>Aretes</t>
        </is>
      </c>
      <c r="G206" s="2" t="n">
        <v>2</v>
      </c>
      <c r="H206" s="2">
        <f>Configuracion!$B$2</f>
        <v/>
      </c>
      <c r="I206" s="4">
        <f>Configuracion!$B$3</f>
        <v/>
      </c>
      <c r="J206" s="2">
        <f>IF(UPPER(Configuracion!$B$2)="ON",Configuracion!$B$4,"")</f>
        <v/>
      </c>
      <c r="K206" s="3">
        <f>IF(UPPER(Configuracion!$B$2)="ON",ROUND(C206*(1-Configuracion!$B$3),0),ROUND(C206,0))</f>
        <v/>
      </c>
    </row>
    <row r="207">
      <c r="A207" s="2" t="n">
        <v>206</v>
      </c>
      <c r="B207" s="2" t="inlineStr">
        <is>
          <t>Pendientes y pulsera de cristal - Modelo 3</t>
        </is>
      </c>
      <c r="C207" s="3" t="n">
        <v>55</v>
      </c>
      <c r="D207" s="2" t="inlineStr">
        <is>
          <t>206.jpg</t>
        </is>
      </c>
      <c r="E207" s="2" t="inlineStr">
        <is>
          <t>Pendientes de mariposa con perla y detalle verde.</t>
        </is>
      </c>
      <c r="F207" s="2" t="inlineStr">
        <is>
          <t>Aretes</t>
        </is>
      </c>
      <c r="G207" s="2" t="n">
        <v>2</v>
      </c>
      <c r="H207" s="2">
        <f>Configuracion!$B$2</f>
        <v/>
      </c>
      <c r="I207" s="4">
        <f>Configuracion!$B$3</f>
        <v/>
      </c>
      <c r="J207" s="2">
        <f>IF(UPPER(Configuracion!$B$2)="ON",Configuracion!$B$4,"")</f>
        <v/>
      </c>
      <c r="K207" s="3">
        <f>IF(UPPER(Configuracion!$B$2)="ON",ROUND(C207*(1-Configuracion!$B$3),0),ROUND(C207,0))</f>
        <v/>
      </c>
    </row>
    <row r="208" ht="12.9" customHeight="1">
      <c r="A208" s="2" t="n">
        <v>207</v>
      </c>
      <c r="B208" s="2" t="inlineStr">
        <is>
          <t>Pendientes Monet - Modelo 1</t>
        </is>
      </c>
      <c r="C208" s="3" t="n">
        <v>45</v>
      </c>
      <c r="D208" s="2" t="inlineStr">
        <is>
          <t>207.jpg</t>
        </is>
      </c>
      <c r="E208" s="2" t="inlineStr">
        <is>
          <t>Pendientes inspirados en Monet con acabado delicado y artístico.</t>
        </is>
      </c>
      <c r="F208" s="2" t="inlineStr">
        <is>
          <t>Aretes</t>
        </is>
      </c>
      <c r="G208" s="2" t="n">
        <v>5</v>
      </c>
      <c r="H208" s="2">
        <f>Configuracion!$B$2</f>
        <v/>
      </c>
      <c r="I208" s="4">
        <f>Configuracion!$B$3</f>
        <v/>
      </c>
      <c r="J208" s="2">
        <f>IF(UPPER(Configuracion!$B$2)="ON",Configuracion!$B$4,"")</f>
        <v/>
      </c>
      <c r="K208" s="3">
        <f>IF(UPPER(Configuracion!$B$2)="ON",ROUND(C208*(1-Configuracion!$B$3),0),ROUND(C208,0))</f>
        <v/>
      </c>
    </row>
    <row r="209" ht="12.9" customHeight="1">
      <c r="A209" s="2" t="n">
        <v>208</v>
      </c>
      <c r="B209" s="2" t="inlineStr">
        <is>
          <t>Pendientes Monet - Modelo 2</t>
        </is>
      </c>
      <c r="C209" s="3" t="n">
        <v>45</v>
      </c>
      <c r="D209" s="2" t="inlineStr">
        <is>
          <t>208.jpg</t>
        </is>
      </c>
      <c r="E209" s="2" t="inlineStr">
        <is>
          <t>Pendientes inspirados en Monet con acabado delicado y artístico.</t>
        </is>
      </c>
      <c r="F209" s="2" t="inlineStr">
        <is>
          <t>Aretes</t>
        </is>
      </c>
      <c r="G209" s="2" t="n">
        <v>5</v>
      </c>
      <c r="H209" s="2">
        <f>Configuracion!$B$2</f>
        <v/>
      </c>
      <c r="I209" s="4">
        <f>Configuracion!$B$3</f>
        <v/>
      </c>
      <c r="J209" s="2">
        <f>IF(UPPER(Configuracion!$B$2)="ON",Configuracion!$B$4,"")</f>
        <v/>
      </c>
      <c r="K209" s="3">
        <f>IF(UPPER(Configuracion!$B$2)="ON",ROUND(C209*(1-Configuracion!$B$3),0),ROUND(C209,0))</f>
        <v/>
      </c>
    </row>
    <row r="210" ht="12.9" customHeight="1">
      <c r="A210" s="2" t="n">
        <v>209</v>
      </c>
      <c r="B210" s="2" t="inlineStr">
        <is>
          <t>Pendientes Monet - Modelo 3</t>
        </is>
      </c>
      <c r="C210" s="3" t="n">
        <v>60</v>
      </c>
      <c r="D210" s="2" t="inlineStr">
        <is>
          <t>209.jpg</t>
        </is>
      </c>
      <c r="E210" s="2" t="inlineStr">
        <is>
          <t>Pendientes inspirados en Monet con acabado delicado y artístico.</t>
        </is>
      </c>
      <c r="F210" s="2" t="inlineStr">
        <is>
          <t>Aretes</t>
        </is>
      </c>
      <c r="G210" s="2" t="n">
        <v>5</v>
      </c>
      <c r="H210" s="2">
        <f>Configuracion!$B$2</f>
        <v/>
      </c>
      <c r="I210" s="4">
        <f>Configuracion!$B$3</f>
        <v/>
      </c>
      <c r="J210" s="2">
        <f>IF(UPPER(Configuracion!$B$2)="ON",Configuracion!$B$4,"")</f>
        <v/>
      </c>
      <c r="K210" s="3">
        <f>IF(UPPER(Configuracion!$B$2)="ON",ROUND(C210*(1-Configuracion!$B$3),0),ROUND(C210,0))</f>
        <v/>
      </c>
    </row>
    <row r="211" ht="12.9" customHeight="1">
      <c r="A211" s="2" t="n">
        <v>210</v>
      </c>
      <c r="B211" s="2" t="inlineStr">
        <is>
          <t>Pendientes Monet - Modelo 4</t>
        </is>
      </c>
      <c r="C211" s="3" t="n">
        <v>40</v>
      </c>
      <c r="D211" s="2" t="inlineStr">
        <is>
          <t>210.jpg</t>
        </is>
      </c>
      <c r="E211" s="2" t="inlineStr">
        <is>
          <t>Pendientes inspirados en Monet con acabado delicado y artístico.</t>
        </is>
      </c>
      <c r="F211" s="2" t="inlineStr">
        <is>
          <t>Aretes</t>
        </is>
      </c>
      <c r="G211" s="2" t="n">
        <v>5</v>
      </c>
      <c r="H211" s="2">
        <f>Configuracion!$B$2</f>
        <v/>
      </c>
      <c r="I211" s="4">
        <f>Configuracion!$B$3</f>
        <v/>
      </c>
      <c r="J211" s="2">
        <f>IF(UPPER(Configuracion!$B$2)="ON",Configuracion!$B$4,"")</f>
        <v/>
      </c>
      <c r="K211" s="3">
        <f>IF(UPPER(Configuracion!$B$2)="ON",ROUND(C211*(1-Configuracion!$B$3),0),ROUND(C211,0))</f>
        <v/>
      </c>
    </row>
    <row r="212" ht="12.9" customHeight="1">
      <c r="A212" s="2" t="n">
        <v>211</v>
      </c>
      <c r="B212" s="2" t="inlineStr">
        <is>
          <t>Pendientes Monet - Modelo 5</t>
        </is>
      </c>
      <c r="C212" s="3" t="n">
        <v>45</v>
      </c>
      <c r="D212" s="2" t="inlineStr">
        <is>
          <t>211.jpg</t>
        </is>
      </c>
      <c r="E212" s="2" t="inlineStr">
        <is>
          <t>Pendientes inspirados en Monet con acabado delicado y artístico.</t>
        </is>
      </c>
      <c r="F212" s="2" t="inlineStr">
        <is>
          <t>Aretes</t>
        </is>
      </c>
      <c r="G212" s="2" t="n">
        <v>5</v>
      </c>
      <c r="H212" s="2">
        <f>Configuracion!$B$2</f>
        <v/>
      </c>
      <c r="I212" s="4">
        <f>Configuracion!$B$3</f>
        <v/>
      </c>
      <c r="J212" s="2">
        <f>IF(UPPER(Configuracion!$B$2)="ON",Configuracion!$B$4,"")</f>
        <v/>
      </c>
      <c r="K212" s="3">
        <f>IF(UPPER(Configuracion!$B$2)="ON",ROUND(C212*(1-Configuracion!$B$3),0),ROUND(C212,0))</f>
        <v/>
      </c>
    </row>
    <row r="213" ht="12.9" customHeight="1">
      <c r="A213" s="2" t="n">
        <v>212</v>
      </c>
      <c r="B213" s="2" t="inlineStr">
        <is>
          <t>Pendientes mariposa rosada - Modelo 6</t>
        </is>
      </c>
      <c r="C213" s="3" t="n">
        <v>70</v>
      </c>
      <c r="D213" s="2" t="inlineStr">
        <is>
          <t>212.jpg</t>
        </is>
      </c>
      <c r="E213" s="2" t="inlineStr">
        <is>
          <t>Pendientes inspirados en Monet con acabado delicado y artístico.</t>
        </is>
      </c>
      <c r="F213" s="2" t="inlineStr">
        <is>
          <t>Aretes</t>
        </is>
      </c>
      <c r="G213" s="2" t="n">
        <v>5</v>
      </c>
      <c r="H213" s="2">
        <f>Configuracion!$B$2</f>
        <v/>
      </c>
      <c r="I213" s="4">
        <f>Configuracion!$B$3</f>
        <v/>
      </c>
      <c r="J213" s="2">
        <f>IF(UPPER(Configuracion!$B$2)="ON",Configuracion!$B$4,"")</f>
        <v/>
      </c>
      <c r="K213" s="3">
        <f>IF(UPPER(Configuracion!$B$2)="ON",ROUND(C213*(1-Configuracion!$B$3),0),ROUND(C213,0))</f>
        <v/>
      </c>
    </row>
    <row r="214">
      <c r="A214" s="2" t="n">
        <v>213</v>
      </c>
      <c r="B214" s="2" t="inlineStr">
        <is>
          <t>Pendientes cuadro de flores - Modelo 1</t>
        </is>
      </c>
      <c r="C214" s="3" t="n">
        <v>30</v>
      </c>
      <c r="D214" s="2" t="inlineStr">
        <is>
          <t>213.jpg</t>
        </is>
      </c>
      <c r="E214" s="2" t="inlineStr">
        <is>
          <t>Pendientes largos con mariposa y cristal morado.</t>
        </is>
      </c>
      <c r="F214" s="2" t="inlineStr">
        <is>
          <t>Aretes</t>
        </is>
      </c>
      <c r="G214" s="2" t="n">
        <v>10</v>
      </c>
      <c r="H214" s="2">
        <f>Configuracion!$B$2</f>
        <v/>
      </c>
      <c r="I214" s="4">
        <f>Configuracion!$B$3</f>
        <v/>
      </c>
      <c r="J214" s="2">
        <f>IF(UPPER(Configuracion!$B$2)="ON",Configuracion!$B$4,"")</f>
        <v/>
      </c>
      <c r="K214" s="3">
        <f>IF(UPPER(Configuracion!$B$2)="ON",ROUND(C214*(1-Configuracion!$B$3),0),ROUND(C214,0))</f>
        <v/>
      </c>
    </row>
    <row r="215">
      <c r="A215" s="2" t="n">
        <v>214</v>
      </c>
      <c r="B215" s="2" t="inlineStr">
        <is>
          <t>Pendientes morados - Modelo 2</t>
        </is>
      </c>
      <c r="C215" s="3" t="n">
        <v>25</v>
      </c>
      <c r="D215" s="2" t="inlineStr">
        <is>
          <t>214.jpg</t>
        </is>
      </c>
      <c r="E215" s="2" t="inlineStr">
        <is>
          <t>Pendientes largos con mariposa y cristal morado.</t>
        </is>
      </c>
      <c r="F215" s="2" t="inlineStr">
        <is>
          <t>Aretes</t>
        </is>
      </c>
      <c r="G215" s="2" t="n">
        <v>10</v>
      </c>
      <c r="H215" s="2">
        <f>Configuracion!$B$2</f>
        <v/>
      </c>
      <c r="I215" s="4">
        <f>Configuracion!$B$3</f>
        <v/>
      </c>
      <c r="J215" s="2">
        <f>IF(UPPER(Configuracion!$B$2)="ON",Configuracion!$B$4,"")</f>
        <v/>
      </c>
      <c r="K215" s="3">
        <f>IF(UPPER(Configuracion!$B$2)="ON",ROUND(C215*(1-Configuracion!$B$3),0),ROUND(C215,0))</f>
        <v/>
      </c>
    </row>
    <row r="216">
      <c r="A216" s="2" t="n">
        <v>215</v>
      </c>
      <c r="B216" s="2" t="inlineStr">
        <is>
          <t>Pendientes flores moradas - Modelo 3</t>
        </is>
      </c>
      <c r="C216" s="3" t="n">
        <v>30</v>
      </c>
      <c r="D216" s="2" t="inlineStr">
        <is>
          <t>215.jpg</t>
        </is>
      </c>
      <c r="E216" s="2" t="inlineStr">
        <is>
          <t>Pendientes largos con mariposa y cristal morado.</t>
        </is>
      </c>
      <c r="F216" s="2" t="inlineStr">
        <is>
          <t>Aretes</t>
        </is>
      </c>
      <c r="G216" s="2" t="n">
        <v>10</v>
      </c>
      <c r="H216" s="2">
        <f>Configuracion!$B$2</f>
        <v/>
      </c>
      <c r="I216" s="4">
        <f>Configuracion!$B$3</f>
        <v/>
      </c>
      <c r="J216" s="2">
        <f>IF(UPPER(Configuracion!$B$2)="ON",Configuracion!$B$4,"")</f>
        <v/>
      </c>
      <c r="K216" s="3">
        <f>IF(UPPER(Configuracion!$B$2)="ON",ROUND(C216*(1-Configuracion!$B$3),0),ROUND(C216,0))</f>
        <v/>
      </c>
    </row>
    <row r="217">
      <c r="A217" s="2" t="n">
        <v>216</v>
      </c>
      <c r="B217" s="2" t="inlineStr">
        <is>
          <t>Pendientes mariposa y cristal - Modelo 4</t>
        </is>
      </c>
      <c r="C217" s="3" t="n">
        <v>70</v>
      </c>
      <c r="D217" s="2" t="inlineStr">
        <is>
          <t>216.jpg</t>
        </is>
      </c>
      <c r="E217" s="2" t="inlineStr">
        <is>
          <t>Pendientes largos con mariposa y cristal morado.</t>
        </is>
      </c>
      <c r="F217" s="2" t="inlineStr">
        <is>
          <t>Aretes</t>
        </is>
      </c>
      <c r="G217" s="2" t="n">
        <v>5</v>
      </c>
      <c r="H217" s="2">
        <f>Configuracion!$B$2</f>
        <v/>
      </c>
      <c r="I217" s="4">
        <f>Configuracion!$B$3</f>
        <v/>
      </c>
      <c r="J217" s="2">
        <f>IF(UPPER(Configuracion!$B$2)="ON",Configuracion!$B$4,"")</f>
        <v/>
      </c>
      <c r="K217" s="3">
        <f>IF(UPPER(Configuracion!$B$2)="ON",ROUND(C217*(1-Configuracion!$B$3),0),ROUND(C217,0))</f>
        <v/>
      </c>
    </row>
    <row r="218">
      <c r="A218" s="2" t="n">
        <v>217</v>
      </c>
      <c r="B218" s="2" t="inlineStr">
        <is>
          <t>Pendientes flor de cristal - Modelo 5</t>
        </is>
      </c>
      <c r="C218" s="3" t="n">
        <v>35</v>
      </c>
      <c r="D218" s="2" t="inlineStr">
        <is>
          <t>217.jpg</t>
        </is>
      </c>
      <c r="E218" s="2" t="inlineStr">
        <is>
          <t>Pendientes largos con mariposa y cristal morado.</t>
        </is>
      </c>
      <c r="F218" s="2" t="inlineStr">
        <is>
          <t>Aretes</t>
        </is>
      </c>
      <c r="G218" s="2" t="n">
        <v>10</v>
      </c>
      <c r="H218" s="2">
        <f>Configuracion!$B$2</f>
        <v/>
      </c>
      <c r="I218" s="4">
        <f>Configuracion!$B$3</f>
        <v/>
      </c>
      <c r="J218" s="2">
        <f>IF(UPPER(Configuracion!$B$2)="ON",Configuracion!$B$4,"")</f>
        <v/>
      </c>
      <c r="K218" s="3">
        <f>IF(UPPER(Configuracion!$B$2)="ON",ROUND(C218*(1-Configuracion!$B$3),0),ROUND(C218,0))</f>
        <v/>
      </c>
    </row>
    <row r="219">
      <c r="A219" s="2" t="n">
        <v>218</v>
      </c>
      <c r="B219" s="2" t="inlineStr">
        <is>
          <t>Pendientes de mariposa vintage - Modelo 6</t>
        </is>
      </c>
      <c r="C219" s="3" t="n">
        <v>25</v>
      </c>
      <c r="D219" s="2" t="inlineStr">
        <is>
          <t>218.jpg</t>
        </is>
      </c>
      <c r="E219" s="2" t="inlineStr">
        <is>
          <t>Pendientes largos con mariposa y cristal morado.</t>
        </is>
      </c>
      <c r="F219" s="2" t="inlineStr">
        <is>
          <t>Aretes</t>
        </is>
      </c>
      <c r="G219" s="2" t="n">
        <v>10</v>
      </c>
      <c r="H219" s="2">
        <f>Configuracion!$B$2</f>
        <v/>
      </c>
      <c r="I219" s="4">
        <f>Configuracion!$B$3</f>
        <v/>
      </c>
      <c r="J219" s="2">
        <f>IF(UPPER(Configuracion!$B$2)="ON",Configuracion!$B$4,"")</f>
        <v/>
      </c>
      <c r="K219" s="3">
        <f>IF(UPPER(Configuracion!$B$2)="ON",ROUND(C219*(1-Configuracion!$B$3),0),ROUND(C219,0))</f>
        <v/>
      </c>
    </row>
    <row r="220">
      <c r="A220" s="2" t="n">
        <v>219</v>
      </c>
      <c r="B220" s="2" t="inlineStr">
        <is>
          <t>Pendientes flor fuxia - Modelo 7</t>
        </is>
      </c>
      <c r="C220" s="3" t="n">
        <v>35</v>
      </c>
      <c r="D220" s="2" t="inlineStr">
        <is>
          <t>219.jpg</t>
        </is>
      </c>
      <c r="E220" s="2" t="inlineStr">
        <is>
          <t>Pendientes largos con mariposa y cristal morado.</t>
        </is>
      </c>
      <c r="F220" s="2" t="inlineStr">
        <is>
          <t>Aretes</t>
        </is>
      </c>
      <c r="G220" s="2" t="n">
        <v>10</v>
      </c>
      <c r="H220" s="2">
        <f>Configuracion!$B$2</f>
        <v/>
      </c>
      <c r="I220" s="4">
        <f>Configuracion!$B$3</f>
        <v/>
      </c>
      <c r="J220" s="2">
        <f>IF(UPPER(Configuracion!$B$2)="ON",Configuracion!$B$4,"")</f>
        <v/>
      </c>
      <c r="K220" s="3">
        <f>IF(UPPER(Configuracion!$B$2)="ON",ROUND(C220*(1-Configuracion!$B$3),0),ROUND(C220,0))</f>
        <v/>
      </c>
    </row>
    <row r="221">
      <c r="A221" s="2" t="n">
        <v>220</v>
      </c>
      <c r="B221" s="2" t="inlineStr">
        <is>
          <t>Pendientes mariposa y cristal - Modelo 8</t>
        </is>
      </c>
      <c r="C221" s="3" t="n">
        <v>60</v>
      </c>
      <c r="D221" s="2" t="inlineStr">
        <is>
          <t>220.jpg</t>
        </is>
      </c>
      <c r="E221" s="2" t="inlineStr">
        <is>
          <t>Pendientes largos con mariposa y cristal morado.</t>
        </is>
      </c>
      <c r="F221" s="2" t="inlineStr">
        <is>
          <t>Aretes</t>
        </is>
      </c>
      <c r="G221" s="2" t="n">
        <v>5</v>
      </c>
      <c r="H221" s="2">
        <f>Configuracion!$B$2</f>
        <v/>
      </c>
      <c r="I221" s="4">
        <f>Configuracion!$B$3</f>
        <v/>
      </c>
      <c r="J221" s="2">
        <f>IF(UPPER(Configuracion!$B$2)="ON",Configuracion!$B$4,"")</f>
        <v/>
      </c>
      <c r="K221" s="3">
        <f>IF(UPPER(Configuracion!$B$2)="ON",ROUND(C221*(1-Configuracion!$B$3),0),ROUND(C221,0))</f>
        <v/>
      </c>
    </row>
    <row r="222">
      <c r="A222" s="2" t="n">
        <v>221</v>
      </c>
      <c r="B222" s="2" t="inlineStr">
        <is>
          <t>Pendientes flores moradas - Modelo 9</t>
        </is>
      </c>
      <c r="C222" s="3" t="n">
        <v>30</v>
      </c>
      <c r="D222" s="2" t="inlineStr">
        <is>
          <t>221.jpg</t>
        </is>
      </c>
      <c r="E222" s="2" t="inlineStr">
        <is>
          <t>Pendientes largos con mariposa y cristal morado.</t>
        </is>
      </c>
      <c r="F222" s="2" t="inlineStr">
        <is>
          <t>Aretes</t>
        </is>
      </c>
      <c r="G222" s="2" t="n">
        <v>5</v>
      </c>
      <c r="H222" s="2">
        <f>Configuracion!$B$2</f>
        <v/>
      </c>
      <c r="I222" s="4">
        <f>Configuracion!$B$3</f>
        <v/>
      </c>
      <c r="J222" s="2">
        <f>IF(UPPER(Configuracion!$B$2)="ON",Configuracion!$B$4,"")</f>
        <v/>
      </c>
      <c r="K222" s="3">
        <f>IF(UPPER(Configuracion!$B$2)="ON",ROUND(C222*(1-Configuracion!$B$3),0),ROUND(C222,0))</f>
        <v/>
      </c>
    </row>
    <row r="223">
      <c r="A223" s="2" t="n">
        <v>222</v>
      </c>
      <c r="B223" s="2" t="inlineStr">
        <is>
          <t>Pendientes flores rosadas - Modelo 10</t>
        </is>
      </c>
      <c r="C223" s="3" t="n">
        <v>35</v>
      </c>
      <c r="D223" s="2" t="inlineStr">
        <is>
          <t>222.jpg</t>
        </is>
      </c>
      <c r="E223" s="2" t="inlineStr">
        <is>
          <t>Pendientes largos con mariposa y cristal morado.</t>
        </is>
      </c>
      <c r="F223" s="2" t="inlineStr">
        <is>
          <t>Aretes</t>
        </is>
      </c>
      <c r="G223" s="2" t="n">
        <v>5</v>
      </c>
      <c r="H223" s="2">
        <f>Configuracion!$B$2</f>
        <v/>
      </c>
      <c r="I223" s="4">
        <f>Configuracion!$B$3</f>
        <v/>
      </c>
      <c r="J223" s="2">
        <f>IF(UPPER(Configuracion!$B$2)="ON",Configuracion!$B$4,"")</f>
        <v/>
      </c>
      <c r="K223" s="3">
        <f>IF(UPPER(Configuracion!$B$2)="ON",ROUND(C223*(1-Configuracion!$B$3),0),ROUND(C223,0))</f>
        <v/>
      </c>
    </row>
    <row r="224">
      <c r="A224" s="2" t="n">
        <v>223</v>
      </c>
      <c r="B224" s="2" t="inlineStr">
        <is>
          <t>Pendientes flor de cristal - Modelo 11</t>
        </is>
      </c>
      <c r="C224" s="3" t="n">
        <v>45</v>
      </c>
      <c r="D224" s="2" t="inlineStr">
        <is>
          <t>223.jpg</t>
        </is>
      </c>
      <c r="E224" s="2" t="inlineStr">
        <is>
          <t>Pendientes largos con mariposa y cristal morado.</t>
        </is>
      </c>
      <c r="F224" s="2" t="inlineStr">
        <is>
          <t>Aretes</t>
        </is>
      </c>
      <c r="G224" s="2" t="n">
        <v>10</v>
      </c>
      <c r="H224" s="2">
        <f>Configuracion!$B$2</f>
        <v/>
      </c>
      <c r="I224" s="4">
        <f>Configuracion!$B$3</f>
        <v/>
      </c>
      <c r="J224" s="2">
        <f>IF(UPPER(Configuracion!$B$2)="ON",Configuracion!$B$4,"")</f>
        <v/>
      </c>
      <c r="K224" s="3">
        <f>IF(UPPER(Configuracion!$B$2)="ON",ROUND(C224*(1-Configuracion!$B$3),0),ROUND(C224,0))</f>
        <v/>
      </c>
    </row>
    <row r="225">
      <c r="A225" s="2" t="n">
        <v>224</v>
      </c>
      <c r="B225" s="2" t="inlineStr">
        <is>
          <t>Bolso de felpa con cadena - Taro</t>
        </is>
      </c>
      <c r="C225" s="3" t="n">
        <v>55</v>
      </c>
      <c r="D225" s="2" t="inlineStr">
        <is>
          <t>224.jpg</t>
        </is>
      </c>
      <c r="E225" s="2" t="inlineStr">
        <is>
          <t>Bolso de felpa con cadena y detalle divertido. Color Taro.</t>
        </is>
      </c>
      <c r="F225" s="2" t="inlineStr">
        <is>
          <t>Bolsos</t>
        </is>
      </c>
      <c r="G225" s="2" t="n">
        <v>2</v>
      </c>
      <c r="H225" s="2">
        <f>Configuracion!$B$2</f>
        <v/>
      </c>
      <c r="I225" s="4">
        <f>Configuracion!$B$3</f>
        <v/>
      </c>
      <c r="J225" s="2">
        <f>IF(UPPER(Configuracion!$B$2)="ON",Configuracion!$B$4,"")</f>
        <v/>
      </c>
      <c r="K225" s="3">
        <f>IF(UPPER(Configuracion!$B$2)="ON",ROUND(C225*(1-Configuracion!$B$3),0),ROUND(C225,0))</f>
        <v/>
      </c>
    </row>
    <row r="226">
      <c r="A226" s="2" t="n">
        <v>225</v>
      </c>
      <c r="B226" s="2" t="inlineStr">
        <is>
          <t>Bolso de felpa con cadena - Negro</t>
        </is>
      </c>
      <c r="C226" s="3" t="n">
        <v>55</v>
      </c>
      <c r="D226" s="2" t="inlineStr">
        <is>
          <t>225.jpg</t>
        </is>
      </c>
      <c r="E226" s="2" t="inlineStr">
        <is>
          <t>Bolso de felpa con cadena y detalle divertido. Color Negro.</t>
        </is>
      </c>
      <c r="F226" s="2" t="inlineStr">
        <is>
          <t>Bolsos</t>
        </is>
      </c>
      <c r="G226" s="2" t="n">
        <v>2</v>
      </c>
      <c r="H226" s="2">
        <f>Configuracion!$B$2</f>
        <v/>
      </c>
      <c r="I226" s="4">
        <f>Configuracion!$B$3</f>
        <v/>
      </c>
      <c r="J226" s="2">
        <f>IF(UPPER(Configuracion!$B$2)="ON",Configuracion!$B$4,"")</f>
        <v/>
      </c>
      <c r="K226" s="3">
        <f>IF(UPPER(Configuracion!$B$2)="ON",ROUND(C226*(1-Configuracion!$B$3),0),ROUND(C226,0))</f>
        <v/>
      </c>
    </row>
    <row r="227" ht="12.9" customHeight="1">
      <c r="A227" s="2" t="n">
        <v>226</v>
      </c>
      <c r="B227" s="2" t="inlineStr">
        <is>
          <t>Bolso de felpa con cadena - Rosa claro</t>
        </is>
      </c>
      <c r="C227" s="3" t="n">
        <v>55</v>
      </c>
      <c r="D227" s="2" t="inlineStr">
        <is>
          <t>226.jpg</t>
        </is>
      </c>
      <c r="E227" s="2" t="inlineStr">
        <is>
          <t>Bolso de felpa con cadena y detalle divertido. Color Rosa claro.</t>
        </is>
      </c>
      <c r="F227" s="2" t="inlineStr">
        <is>
          <t>Bolsos</t>
        </is>
      </c>
      <c r="G227" s="2" t="n">
        <v>3</v>
      </c>
      <c r="H227" s="2">
        <f>Configuracion!$B$2</f>
        <v/>
      </c>
      <c r="I227" s="4">
        <f>Configuracion!$B$3</f>
        <v/>
      </c>
      <c r="J227" s="2">
        <f>IF(UPPER(Configuracion!$B$2)="ON",Configuracion!$B$4,"")</f>
        <v/>
      </c>
      <c r="K227" s="3">
        <f>IF(UPPER(Configuracion!$B$2)="ON",ROUND(C227*(1-Configuracion!$B$3),0),ROUND(C227,0))</f>
        <v/>
      </c>
    </row>
    <row r="228">
      <c r="A228" s="2" t="n">
        <v>227</v>
      </c>
      <c r="B228" s="2" t="inlineStr">
        <is>
          <t>Bolso de felpa con cadena - Beige</t>
        </is>
      </c>
      <c r="C228" s="3" t="n">
        <v>55</v>
      </c>
      <c r="D228" s="2" t="inlineStr">
        <is>
          <t>227.jpg</t>
        </is>
      </c>
      <c r="E228" s="2" t="inlineStr">
        <is>
          <t>Bolso de felpa con cadena y detalle divertido. Color Beige.</t>
        </is>
      </c>
      <c r="F228" s="2" t="inlineStr">
        <is>
          <t>Bolsos</t>
        </is>
      </c>
      <c r="G228" s="2" t="n">
        <v>3</v>
      </c>
      <c r="H228" s="2">
        <f>Configuracion!$B$2</f>
        <v/>
      </c>
      <c r="I228" s="4">
        <f>Configuracion!$B$3</f>
        <v/>
      </c>
      <c r="J228" s="2">
        <f>IF(UPPER(Configuracion!$B$2)="ON",Configuracion!$B$4,"")</f>
        <v/>
      </c>
      <c r="K228" s="3">
        <f>IF(UPPER(Configuracion!$B$2)="ON",ROUND(C228*(1-Configuracion!$B$3),0),ROUND(C228,0))</f>
        <v/>
      </c>
    </row>
    <row r="229" ht="12.9" customHeight="1">
      <c r="A229" s="2" t="n">
        <v>228</v>
      </c>
      <c r="B229" s="2" t="inlineStr">
        <is>
          <t>Bolso de ratán perrito - Perrito</t>
        </is>
      </c>
      <c r="C229" s="3" t="n">
        <v>40</v>
      </c>
      <c r="D229" s="2" t="inlineStr">
        <is>
          <t>228.jpg</t>
        </is>
      </c>
      <c r="E229" s="2" t="inlineStr">
        <is>
          <t>Bolso de ratán con diseño artesanal de perrito. Color Perrito.</t>
        </is>
      </c>
      <c r="F229" s="2" t="inlineStr">
        <is>
          <t>Bolsos</t>
        </is>
      </c>
      <c r="G229" s="2" t="n">
        <v>2</v>
      </c>
      <c r="H229" s="2">
        <f>Configuracion!$B$2</f>
        <v/>
      </c>
      <c r="I229" s="4">
        <f>Configuracion!$B$3</f>
        <v/>
      </c>
      <c r="J229" s="2">
        <f>IF(UPPER(Configuracion!$B$2)="ON",Configuracion!$B$4,"")</f>
        <v/>
      </c>
      <c r="K229" s="3">
        <f>IF(UPPER(Configuracion!$B$2)="ON",ROUND(C229*(1-Configuracion!$B$3),0),ROUND(C229,0))</f>
        <v/>
      </c>
    </row>
    <row r="230" ht="12.9" customHeight="1">
      <c r="A230" s="2" t="n">
        <v>229</v>
      </c>
      <c r="B230" s="2" t="inlineStr">
        <is>
          <t>Bolso de ratán perrito - Natural</t>
        </is>
      </c>
      <c r="C230" s="3" t="n">
        <v>70</v>
      </c>
      <c r="D230" s="2" t="inlineStr">
        <is>
          <t>229.jpg</t>
        </is>
      </c>
      <c r="E230" s="2" t="inlineStr">
        <is>
          <t>Bolso de ratán con diseño artesanal de perrito. Color Natural.</t>
        </is>
      </c>
      <c r="F230" s="2" t="inlineStr">
        <is>
          <t>Bolsos</t>
        </is>
      </c>
      <c r="G230" s="2" t="n">
        <v>2</v>
      </c>
      <c r="H230" s="2">
        <f>Configuracion!$B$2</f>
        <v/>
      </c>
      <c r="I230" s="4">
        <f>Configuracion!$B$3</f>
        <v/>
      </c>
      <c r="J230" s="2">
        <f>IF(UPPER(Configuracion!$B$2)="ON",Configuracion!$B$4,"")</f>
        <v/>
      </c>
      <c r="K230" s="3">
        <f>IF(UPPER(Configuracion!$B$2)="ON",ROUND(C230*(1-Configuracion!$B$3),0),ROUND(C230,0))</f>
        <v/>
      </c>
    </row>
    <row r="231" ht="12.9" customHeight="1">
      <c r="A231" s="2" t="n">
        <v>230</v>
      </c>
      <c r="B231" s="2" t="inlineStr">
        <is>
          <t>Bolso de ratán perrito - Accesorios</t>
        </is>
      </c>
      <c r="C231" s="3" t="n">
        <v>70</v>
      </c>
      <c r="D231" s="2" t="inlineStr">
        <is>
          <t>230.jpg</t>
        </is>
      </c>
      <c r="E231" s="2" t="inlineStr">
        <is>
          <t>Bolso de ratán con diseño artesanal de perrito. Color Accesorios.</t>
        </is>
      </c>
      <c r="F231" s="2" t="inlineStr">
        <is>
          <t>Bolsos</t>
        </is>
      </c>
      <c r="G231" s="2" t="n">
        <v>2</v>
      </c>
      <c r="H231" s="2">
        <f>Configuracion!$B$2</f>
        <v/>
      </c>
      <c r="I231" s="4">
        <f>Configuracion!$B$3</f>
        <v/>
      </c>
      <c r="J231" s="2">
        <f>IF(UPPER(Configuracion!$B$2)="ON",Configuracion!$B$4,"")</f>
        <v/>
      </c>
      <c r="K231" s="3">
        <f>IF(UPPER(Configuracion!$B$2)="ON",ROUND(C231*(1-Configuracion!$B$3),0),ROUND(C231,0))</f>
        <v/>
      </c>
    </row>
    <row r="232" ht="12.9" customHeight="1">
      <c r="A232" s="2" t="n">
        <v>231</v>
      </c>
      <c r="B232" s="2" t="inlineStr">
        <is>
          <t>Bolso de ratán perrito - Mango de bambú - Modelo 1</t>
        </is>
      </c>
      <c r="C232" s="3" t="n">
        <v>95</v>
      </c>
      <c r="D232" s="2" t="inlineStr">
        <is>
          <t>231.jpg</t>
        </is>
      </c>
      <c r="E232" s="2" t="inlineStr">
        <is>
          <t>Bolso de ratán con diseño artesanal de perrito. Color Mango de bambú.</t>
        </is>
      </c>
      <c r="F232" s="2" t="inlineStr">
        <is>
          <t>Bolsos</t>
        </is>
      </c>
      <c r="G232" s="2" t="n">
        <v>2</v>
      </c>
      <c r="H232" s="2">
        <f>Configuracion!$B$2</f>
        <v/>
      </c>
      <c r="I232" s="4">
        <f>Configuracion!$B$3</f>
        <v/>
      </c>
      <c r="J232" s="2">
        <f>IF(UPPER(Configuracion!$B$2)="ON",Configuracion!$B$4,"")</f>
        <v/>
      </c>
      <c r="K232" s="3">
        <f>IF(UPPER(Configuracion!$B$2)="ON",ROUND(C232*(1-Configuracion!$B$3),0),ROUND(C232,0))</f>
        <v/>
      </c>
    </row>
    <row r="233" ht="12.9" customHeight="1">
      <c r="A233" s="2" t="n">
        <v>232</v>
      </c>
      <c r="B233" s="2" t="inlineStr">
        <is>
          <t>Bolso de ratán perrito - Mango de bambú - Modelo 2</t>
        </is>
      </c>
      <c r="C233" s="3" t="n">
        <v>90</v>
      </c>
      <c r="D233" s="2" t="inlineStr">
        <is>
          <t>232.jpg</t>
        </is>
      </c>
      <c r="E233" s="2" t="inlineStr">
        <is>
          <t>Bolso de ratán con diseño artesanal de perrito. Color Mango de bambú.</t>
        </is>
      </c>
      <c r="F233" s="2" t="inlineStr">
        <is>
          <t>Bolsos</t>
        </is>
      </c>
      <c r="G233" s="2" t="n">
        <v>2</v>
      </c>
      <c r="H233" s="2">
        <f>Configuracion!$B$2</f>
        <v/>
      </c>
      <c r="I233" s="4">
        <f>Configuracion!$B$3</f>
        <v/>
      </c>
      <c r="J233" s="2">
        <f>IF(UPPER(Configuracion!$B$2)="ON",Configuracion!$B$4,"")</f>
        <v/>
      </c>
      <c r="K233" s="3">
        <f>IF(UPPER(Configuracion!$B$2)="ON",ROUND(C233*(1-Configuracion!$B$3),0),ROUND(C233,0))</f>
        <v/>
      </c>
    </row>
    <row r="234" ht="12.9" customHeight="1">
      <c r="A234" s="2" t="n">
        <v>233</v>
      </c>
      <c r="B234" s="2" t="inlineStr">
        <is>
          <t>Bolso de ratán perrito - Mango de bambú - Modelo 3</t>
        </is>
      </c>
      <c r="C234" s="3" t="n">
        <v>95</v>
      </c>
      <c r="D234" s="2" t="inlineStr">
        <is>
          <t>233.jpg</t>
        </is>
      </c>
      <c r="E234" s="2" t="inlineStr">
        <is>
          <t>Bolso de ratán con diseño artesanal de perrito. Color Mango de bambú.</t>
        </is>
      </c>
      <c r="F234" s="2" t="inlineStr">
        <is>
          <t>Bolsos</t>
        </is>
      </c>
      <c r="G234" s="2" t="n">
        <v>2</v>
      </c>
      <c r="H234" s="2">
        <f>Configuracion!$B$2</f>
        <v/>
      </c>
      <c r="I234" s="4">
        <f>Configuracion!$B$3</f>
        <v/>
      </c>
      <c r="J234" s="2">
        <f>IF(UPPER(Configuracion!$B$2)="ON",Configuracion!$B$4,"")</f>
        <v/>
      </c>
      <c r="K234" s="3">
        <f>IF(UPPER(Configuracion!$B$2)="ON",ROUND(C234*(1-Configuracion!$B$3),0),ROUND(C234,0))</f>
        <v/>
      </c>
    </row>
    <row r="235" ht="12.9" customHeight="1">
      <c r="A235" s="2" t="n">
        <v>234</v>
      </c>
      <c r="B235" s="2" t="inlineStr">
        <is>
          <t>Bolso de ratán perrito - Mango de bambú - Modelo 4</t>
        </is>
      </c>
      <c r="C235" s="3" t="n">
        <v>95</v>
      </c>
      <c r="D235" s="2" t="inlineStr">
        <is>
          <t>234.jpg</t>
        </is>
      </c>
      <c r="E235" s="2" t="inlineStr">
        <is>
          <t>Bolso de ratán con diseño artesanal de perrito. Color Mango de bambú.</t>
        </is>
      </c>
      <c r="F235" s="2" t="inlineStr">
        <is>
          <t>Bolsos</t>
        </is>
      </c>
      <c r="G235" s="2" t="n">
        <v>2</v>
      </c>
      <c r="H235" s="2">
        <f>Configuracion!$B$2</f>
        <v/>
      </c>
      <c r="I235" s="4">
        <f>Configuracion!$B$3</f>
        <v/>
      </c>
      <c r="J235" s="2">
        <f>IF(UPPER(Configuracion!$B$2)="ON",Configuracion!$B$4,"")</f>
        <v/>
      </c>
      <c r="K235" s="3">
        <f>IF(UPPER(Configuracion!$B$2)="ON",ROUND(C235*(1-Configuracion!$B$3),0),ROUND(C235,0))</f>
        <v/>
      </c>
    </row>
    <row r="236" ht="12.9" customHeight="1">
      <c r="A236" s="2" t="n">
        <v>235</v>
      </c>
      <c r="B236" s="2" t="inlineStr">
        <is>
          <t>Bolso de ratán perrito - Mango de bambú - Modelo 5</t>
        </is>
      </c>
      <c r="C236" s="3" t="n">
        <v>95</v>
      </c>
      <c r="D236" s="2" t="inlineStr">
        <is>
          <t>235.jpg</t>
        </is>
      </c>
      <c r="E236" s="2" t="inlineStr">
        <is>
          <t>Bolso de ratán con diseño artesanal de perrito. Color Mango de bambú.</t>
        </is>
      </c>
      <c r="F236" s="2" t="inlineStr">
        <is>
          <t>Bolsos</t>
        </is>
      </c>
      <c r="G236" s="2" t="n">
        <v>2</v>
      </c>
      <c r="H236" s="2">
        <f>Configuracion!$B$2</f>
        <v/>
      </c>
      <c r="I236" s="4">
        <f>Configuracion!$B$3</f>
        <v/>
      </c>
      <c r="J236" s="2">
        <f>IF(UPPER(Configuracion!$B$2)="ON",Configuracion!$B$4,"")</f>
        <v/>
      </c>
      <c r="K236" s="3">
        <f>IF(UPPER(Configuracion!$B$2)="ON",ROUND(C236*(1-Configuracion!$B$3),0),ROUND(C236,0))</f>
        <v/>
      </c>
    </row>
    <row r="237" ht="12.9" customHeight="1">
      <c r="A237" s="2" t="n">
        <v>236</v>
      </c>
      <c r="B237" s="2" t="inlineStr">
        <is>
          <t>Bolso de ratán perrito - Mango de bambú - Modelo 6</t>
        </is>
      </c>
      <c r="C237" s="3" t="n">
        <v>90</v>
      </c>
      <c r="D237" s="2" t="inlineStr">
        <is>
          <t>236.jpg</t>
        </is>
      </c>
      <c r="E237" s="2" t="inlineStr">
        <is>
          <t>Bolso de ratán con diseño artesanal de perrito. Color Mango de bambú.</t>
        </is>
      </c>
      <c r="F237" s="2" t="inlineStr">
        <is>
          <t>Bolsos</t>
        </is>
      </c>
      <c r="G237" s="2" t="n">
        <v>2</v>
      </c>
      <c r="H237" s="2">
        <f>Configuracion!$B$2</f>
        <v/>
      </c>
      <c r="I237" s="4">
        <f>Configuracion!$B$3</f>
        <v/>
      </c>
      <c r="J237" s="2">
        <f>IF(UPPER(Configuracion!$B$2)="ON",Configuracion!$B$4,"")</f>
        <v/>
      </c>
      <c r="K237" s="3">
        <f>IF(UPPER(Configuracion!$B$2)="ON",ROUND(C237*(1-Configuracion!$B$3),0),ROUND(C237,0))</f>
        <v/>
      </c>
    </row>
    <row r="238" ht="12.9" customHeight="1">
      <c r="A238" s="2" t="n">
        <v>237</v>
      </c>
      <c r="B238" s="2" t="inlineStr">
        <is>
          <t>Bolso de ratán perrito - Accesorios de correa de hombro larga de seis colores</t>
        </is>
      </c>
      <c r="C238" s="3" t="n">
        <v>80</v>
      </c>
      <c r="D238" s="2" t="inlineStr">
        <is>
          <t>237.jpg</t>
        </is>
      </c>
      <c r="E238" s="2" t="inlineStr">
        <is>
          <t>Bolso de ratán con diseño artesanal de perrito. Color Accesorios de correa de hombro larga de seis colores.</t>
        </is>
      </c>
      <c r="F238" s="2" t="inlineStr">
        <is>
          <t>Bolsos</t>
        </is>
      </c>
      <c r="G238" s="2" t="n">
        <v>2</v>
      </c>
      <c r="H238" s="2">
        <f>Configuracion!$B$2</f>
        <v/>
      </c>
      <c r="I238" s="4">
        <f>Configuracion!$B$3</f>
        <v/>
      </c>
      <c r="J238" s="2">
        <f>IF(UPPER(Configuracion!$B$2)="ON",Configuracion!$B$4,"")</f>
        <v/>
      </c>
      <c r="K238" s="3">
        <f>IF(UPPER(Configuracion!$B$2)="ON",ROUND(C238*(1-Configuracion!$B$3),0),ROUND(C238,0))</f>
        <v/>
      </c>
    </row>
    <row r="239" ht="12.9" customHeight="1">
      <c r="A239" s="2" t="n">
        <v>238</v>
      </c>
      <c r="B239" s="2" t="inlineStr">
        <is>
          <t>Bolso de ratán perrito - Mango de bambú - Modelo 7</t>
        </is>
      </c>
      <c r="C239" s="3" t="n">
        <v>90</v>
      </c>
      <c r="D239" s="2" t="inlineStr">
        <is>
          <t>238.jpg</t>
        </is>
      </c>
      <c r="E239" s="2" t="inlineStr">
        <is>
          <t>Bolso de ratán con diseño artesanal de perrito. Color Mango de bambú.</t>
        </is>
      </c>
      <c r="F239" s="2" t="inlineStr">
        <is>
          <t>Bolsos</t>
        </is>
      </c>
      <c r="G239" s="2" t="n">
        <v>2</v>
      </c>
      <c r="H239" s="2">
        <f>Configuracion!$B$2</f>
        <v/>
      </c>
      <c r="I239" s="4">
        <f>Configuracion!$B$3</f>
        <v/>
      </c>
      <c r="J239" s="2">
        <f>IF(UPPER(Configuracion!$B$2)="ON",Configuracion!$B$4,"")</f>
        <v/>
      </c>
      <c r="K239" s="3">
        <f>IF(UPPER(Configuracion!$B$2)="ON",ROUND(C239*(1-Configuracion!$B$3),0),ROUND(C239,0))</f>
        <v/>
      </c>
    </row>
    <row r="240" ht="12.9" customHeight="1">
      <c r="A240" s="2" t="n">
        <v>239</v>
      </c>
      <c r="B240" s="2" t="inlineStr">
        <is>
          <t>Bolso de ratán perrito - Mango de bambú - Modelo 8</t>
        </is>
      </c>
      <c r="C240" s="3" t="n">
        <v>90</v>
      </c>
      <c r="D240" s="2" t="inlineStr">
        <is>
          <t>239.jpg</t>
        </is>
      </c>
      <c r="E240" s="2" t="inlineStr">
        <is>
          <t>Bolso de ratán con diseño artesanal de perrito. Color Mango de bambú.</t>
        </is>
      </c>
      <c r="F240" s="2" t="inlineStr">
        <is>
          <t>Bolsos</t>
        </is>
      </c>
      <c r="G240" s="2" t="n">
        <v>2</v>
      </c>
      <c r="H240" s="2">
        <f>Configuracion!$B$2</f>
        <v/>
      </c>
      <c r="I240" s="4">
        <f>Configuracion!$B$3</f>
        <v/>
      </c>
      <c r="J240" s="2">
        <f>IF(UPPER(Configuracion!$B$2)="ON",Configuracion!$B$4,"")</f>
        <v/>
      </c>
      <c r="K240" s="3">
        <f>IF(UPPER(Configuracion!$B$2)="ON",ROUND(C240*(1-Configuracion!$B$3),0),ROUND(C240,0))</f>
        <v/>
      </c>
    </row>
    <row r="241" ht="12.9" customHeight="1">
      <c r="A241" s="2" t="n">
        <v>240</v>
      </c>
      <c r="B241" s="2" t="inlineStr">
        <is>
          <t>Bolso cubo bicolor - Azul</t>
        </is>
      </c>
      <c r="C241" s="3" t="n">
        <v>140</v>
      </c>
      <c r="D241" s="2" t="inlineStr">
        <is>
          <t>240.jpg</t>
        </is>
      </c>
      <c r="E241" s="2" t="inlineStr">
        <is>
          <t>Bolso tipo cubo con contraste de color y look moderno. Color Azul.</t>
        </is>
      </c>
      <c r="F241" s="2" t="inlineStr">
        <is>
          <t>Bolsos</t>
        </is>
      </c>
      <c r="G241" s="2" t="n">
        <v>2</v>
      </c>
      <c r="H241" s="2">
        <f>Configuracion!$B$2</f>
        <v/>
      </c>
      <c r="I241" s="4">
        <f>Configuracion!$B$3</f>
        <v/>
      </c>
      <c r="J241" s="2">
        <f>IF(UPPER(Configuracion!$B$2)="ON",Configuracion!$B$4,"")</f>
        <v/>
      </c>
      <c r="K241" s="3">
        <f>IF(UPPER(Configuracion!$B$2)="ON",ROUND(C241*(1-Configuracion!$B$3),0),ROUND(C241,0))</f>
        <v/>
      </c>
    </row>
    <row r="242" ht="12.9" customHeight="1">
      <c r="A242" s="2" t="n">
        <v>241</v>
      </c>
      <c r="B242" s="2" t="inlineStr">
        <is>
          <t>Bolso cubo bicolor - Negro</t>
        </is>
      </c>
      <c r="C242" s="3" t="n">
        <v>140</v>
      </c>
      <c r="D242" s="2" t="inlineStr">
        <is>
          <t>241.jpg</t>
        </is>
      </c>
      <c r="E242" s="2" t="inlineStr">
        <is>
          <t>Bolso tipo cubo con contraste de color y look moderno. Color Negro.</t>
        </is>
      </c>
      <c r="F242" s="2" t="inlineStr">
        <is>
          <t>Bolsos</t>
        </is>
      </c>
      <c r="G242" s="2" t="n">
        <v>2</v>
      </c>
      <c r="H242" s="2">
        <f>Configuracion!$B$2</f>
        <v/>
      </c>
      <c r="I242" s="4">
        <f>Configuracion!$B$3</f>
        <v/>
      </c>
      <c r="J242" s="2">
        <f>IF(UPPER(Configuracion!$B$2)="ON",Configuracion!$B$4,"")</f>
        <v/>
      </c>
      <c r="K242" s="3">
        <f>IF(UPPER(Configuracion!$B$2)="ON",ROUND(C242*(1-Configuracion!$B$3),0),ROUND(C242,0))</f>
        <v/>
      </c>
    </row>
    <row r="243" ht="12.9" customHeight="1">
      <c r="A243" s="2" t="n">
        <v>242</v>
      </c>
      <c r="B243" s="2" t="inlineStr">
        <is>
          <t>Bolso cubo bicolor - Blanco</t>
        </is>
      </c>
      <c r="C243" s="3" t="n">
        <v>140</v>
      </c>
      <c r="D243" s="2" t="inlineStr">
        <is>
          <t>242.jpg</t>
        </is>
      </c>
      <c r="E243" s="2" t="inlineStr">
        <is>
          <t>Bolso tipo cubo con contraste de color y look moderno. Color Blanco.</t>
        </is>
      </c>
      <c r="F243" s="2" t="inlineStr">
        <is>
          <t>Bolsos</t>
        </is>
      </c>
      <c r="G243" s="2" t="n">
        <v>2</v>
      </c>
      <c r="H243" s="2">
        <f>Configuracion!$B$2</f>
        <v/>
      </c>
      <c r="I243" s="4">
        <f>Configuracion!$B$3</f>
        <v/>
      </c>
      <c r="J243" s="2">
        <f>IF(UPPER(Configuracion!$B$2)="ON",Configuracion!$B$4,"")</f>
        <v/>
      </c>
      <c r="K243" s="3">
        <f>IF(UPPER(Configuracion!$B$2)="ON",ROUND(C243*(1-Configuracion!$B$3),0),ROUND(C243,0))</f>
        <v/>
      </c>
    </row>
    <row r="244" ht="12.9" customHeight="1">
      <c r="A244" s="2" t="n">
        <v>243</v>
      </c>
      <c r="B244" s="2" t="inlineStr">
        <is>
          <t>Bolso cubo bicolor - Blanco y negro</t>
        </is>
      </c>
      <c r="C244" s="3" t="n">
        <v>130</v>
      </c>
      <c r="D244" s="2" t="inlineStr">
        <is>
          <t>243.jpg</t>
        </is>
      </c>
      <c r="E244" s="2" t="inlineStr">
        <is>
          <t>Bolso tipo cubo con contraste de color y look moderno. Color Blanco y negro.</t>
        </is>
      </c>
      <c r="F244" s="2" t="inlineStr">
        <is>
          <t>Bolsos</t>
        </is>
      </c>
      <c r="G244" s="2" t="n">
        <v>2</v>
      </c>
      <c r="H244" s="2">
        <f>Configuracion!$B$2</f>
        <v/>
      </c>
      <c r="I244" s="4">
        <f>Configuracion!$B$3</f>
        <v/>
      </c>
      <c r="J244" s="2">
        <f>IF(UPPER(Configuracion!$B$2)="ON",Configuracion!$B$4,"")</f>
        <v/>
      </c>
      <c r="K244" s="3">
        <f>IF(UPPER(Configuracion!$B$2)="ON",ROUND(C244*(1-Configuracion!$B$3),0),ROUND(C244,0))</f>
        <v/>
      </c>
    </row>
    <row r="245">
      <c r="A245" s="2" t="n">
        <v>244</v>
      </c>
      <c r="B245" s="2" t="inlineStr">
        <is>
          <t>Bolso bowling retro</t>
        </is>
      </c>
      <c r="C245" s="3" t="n">
        <v>140</v>
      </c>
      <c r="D245" s="2" t="inlineStr">
        <is>
          <t>244.jpg</t>
        </is>
      </c>
      <c r="E245" s="2" t="inlineStr">
        <is>
          <t>Bolso tipo bowling con textura retro y tamaño compacto.</t>
        </is>
      </c>
      <c r="F245" s="2" t="inlineStr">
        <is>
          <t>Bolsos</t>
        </is>
      </c>
      <c r="G245" s="2" t="n">
        <v>3</v>
      </c>
      <c r="H245" s="2">
        <f>Configuracion!$B$2</f>
        <v/>
      </c>
      <c r="I245" s="4">
        <f>Configuracion!$B$3</f>
        <v/>
      </c>
      <c r="J245" s="2">
        <f>IF(UPPER(Configuracion!$B$2)="ON",Configuracion!$B$4,"")</f>
        <v/>
      </c>
      <c r="K245" s="3">
        <f>IF(UPPER(Configuracion!$B$2)="ON",ROUND(C245*(1-Configuracion!$B$3),0),ROUND(C245,0))</f>
        <v/>
      </c>
    </row>
    <row r="246">
      <c r="A246" s="2" t="n">
        <v>245</v>
      </c>
      <c r="B246" s="2" t="inlineStr">
        <is>
          <t>Bolso de hombro grande - Negro</t>
        </is>
      </c>
      <c r="C246" s="3" t="n">
        <v>100</v>
      </c>
      <c r="D246" s="2" t="inlineStr">
        <is>
          <t>245.jpg</t>
        </is>
      </c>
      <c r="E246" s="2" t="inlineStr">
        <is>
          <t>Bolso de hombro amplio para uso diario. Color Negro.</t>
        </is>
      </c>
      <c r="F246" s="2" t="inlineStr">
        <is>
          <t>Bolsos</t>
        </is>
      </c>
      <c r="G246" s="2" t="n">
        <v>6</v>
      </c>
      <c r="H246" s="2">
        <f>Configuracion!$B$2</f>
        <v/>
      </c>
      <c r="I246" s="4">
        <f>Configuracion!$B$3</f>
        <v/>
      </c>
      <c r="J246" s="2">
        <f>IF(UPPER(Configuracion!$B$2)="ON",Configuracion!$B$4,"")</f>
        <v/>
      </c>
      <c r="K246" s="3">
        <f>IF(UPPER(Configuracion!$B$2)="ON",ROUND(C246*(1-Configuracion!$B$3),0),ROUND(C246,0))</f>
        <v/>
      </c>
    </row>
    <row r="247">
      <c r="A247" s="2" t="n">
        <v>246</v>
      </c>
      <c r="B247" s="2" t="inlineStr">
        <is>
          <t>Bolso de hombro grande - Marrón</t>
        </is>
      </c>
      <c r="C247" s="3" t="n">
        <v>100</v>
      </c>
      <c r="D247" s="2" t="inlineStr">
        <is>
          <t>246.jpg</t>
        </is>
      </c>
      <c r="E247" s="2" t="inlineStr">
        <is>
          <t>Bolso de hombro amplio para uso diario. Color Marrón.</t>
        </is>
      </c>
      <c r="F247" s="2" t="inlineStr">
        <is>
          <t>Bolsos</t>
        </is>
      </c>
      <c r="G247" s="2" t="n">
        <v>6</v>
      </c>
      <c r="H247" s="2">
        <f>Configuracion!$B$2</f>
        <v/>
      </c>
      <c r="I247" s="4">
        <f>Configuracion!$B$3</f>
        <v/>
      </c>
      <c r="J247" s="2">
        <f>IF(UPPER(Configuracion!$B$2)="ON",Configuracion!$B$4,"")</f>
        <v/>
      </c>
      <c r="K247" s="3">
        <f>IF(UPPER(Configuracion!$B$2)="ON",ROUND(C247*(1-Configuracion!$B$3),0),ROUND(C247,0))</f>
        <v/>
      </c>
    </row>
    <row r="248">
      <c r="A248" s="2" t="n">
        <v>247</v>
      </c>
      <c r="B248" s="2" t="inlineStr">
        <is>
          <t>Bolso de hombro grande - Burdeos</t>
        </is>
      </c>
      <c r="C248" s="3" t="n">
        <v>100</v>
      </c>
      <c r="D248" s="2" t="inlineStr">
        <is>
          <t>247.jpg</t>
        </is>
      </c>
      <c r="E248" s="2" t="inlineStr">
        <is>
          <t>Bolso de hombro amplio para uso diario. Color Burdeos.</t>
        </is>
      </c>
      <c r="F248" s="2" t="inlineStr">
        <is>
          <t>Bolsos</t>
        </is>
      </c>
      <c r="G248" s="2" t="n">
        <v>6</v>
      </c>
      <c r="H248" s="2">
        <f>Configuracion!$B$2</f>
        <v/>
      </c>
      <c r="I248" s="4">
        <f>Configuracion!$B$3</f>
        <v/>
      </c>
      <c r="J248" s="2">
        <f>IF(UPPER(Configuracion!$B$2)="ON",Configuracion!$B$4,"")</f>
        <v/>
      </c>
      <c r="K248" s="3">
        <f>IF(UPPER(Configuracion!$B$2)="ON",ROUND(C248*(1-Configuracion!$B$3),0),ROUND(C248,0))</f>
        <v/>
      </c>
    </row>
    <row r="249">
      <c r="A249" s="2" t="n">
        <v>248</v>
      </c>
      <c r="B249" s="2" t="inlineStr">
        <is>
          <t>Bolso tweed pequeño - Tweed</t>
        </is>
      </c>
      <c r="C249" s="3" t="n">
        <v>95</v>
      </c>
      <c r="D249" s="2" t="inlineStr">
        <is>
          <t>248.jpg</t>
        </is>
      </c>
      <c r="E249" s="2" t="inlineStr">
        <is>
          <t>Bolso pequeño de tweed con aire clásico. Color Tweed.</t>
        </is>
      </c>
      <c r="F249" s="2" t="inlineStr">
        <is>
          <t>Bolsos</t>
        </is>
      </c>
      <c r="G249" s="2" t="n">
        <v>2</v>
      </c>
      <c r="H249" s="2">
        <f>Configuracion!$B$2</f>
        <v/>
      </c>
      <c r="I249" s="4">
        <f>Configuracion!$B$3</f>
        <v/>
      </c>
      <c r="J249" s="2">
        <f>IF(UPPER(Configuracion!$B$2)="ON",Configuracion!$B$4,"")</f>
        <v/>
      </c>
      <c r="K249" s="3">
        <f>IF(UPPER(Configuracion!$B$2)="ON",ROUND(C249*(1-Configuracion!$B$3),0),ROUND(C249,0))</f>
        <v/>
      </c>
    </row>
    <row r="250">
      <c r="A250" s="2" t="n">
        <v>249</v>
      </c>
      <c r="B250" s="2" t="inlineStr">
        <is>
          <t>Bolso mensajero básico - Negro</t>
        </is>
      </c>
      <c r="C250" s="3" t="n">
        <v>125</v>
      </c>
      <c r="D250" s="2" t="inlineStr">
        <is>
          <t>249.jpg</t>
        </is>
      </c>
      <c r="E250" s="2" t="inlineStr">
        <is>
          <t>Bolso mensajero simple y fácil de combinar. Color Negro.</t>
        </is>
      </c>
      <c r="F250" s="2" t="inlineStr">
        <is>
          <t>Bolsos</t>
        </is>
      </c>
      <c r="G250" s="2" t="n">
        <v>2</v>
      </c>
      <c r="H250" s="2">
        <f>Configuracion!$B$2</f>
        <v/>
      </c>
      <c r="I250" s="4">
        <f>Configuracion!$B$3</f>
        <v/>
      </c>
      <c r="J250" s="2">
        <f>IF(UPPER(Configuracion!$B$2)="ON",Configuracion!$B$4,"")</f>
        <v/>
      </c>
      <c r="K250" s="3">
        <f>IF(UPPER(Configuracion!$B$2)="ON",ROUND(C250*(1-Configuracion!$B$3),0),ROUND(C250,0))</f>
        <v/>
      </c>
    </row>
    <row r="251">
      <c r="A251" s="2" t="n">
        <v>250</v>
      </c>
      <c r="B251" s="2" t="inlineStr">
        <is>
          <t>Bolso de hombro a cuadros - Rosa</t>
        </is>
      </c>
      <c r="C251" s="3" t="n">
        <v>105</v>
      </c>
      <c r="D251" s="2" t="inlineStr">
        <is>
          <t>250.jpg</t>
        </is>
      </c>
      <c r="E251" s="2" t="inlineStr">
        <is>
          <t>Bolso de hombro a cuadros con estilo dulce. Color Rosa.</t>
        </is>
      </c>
      <c r="F251" s="2" t="inlineStr">
        <is>
          <t>Bolsos</t>
        </is>
      </c>
      <c r="G251" s="2" t="n">
        <v>1</v>
      </c>
      <c r="H251" s="2">
        <f>Configuracion!$B$2</f>
        <v/>
      </c>
      <c r="I251" s="4">
        <f>Configuracion!$B$3</f>
        <v/>
      </c>
      <c r="J251" s="2">
        <f>IF(UPPER(Configuracion!$B$2)="ON",Configuracion!$B$4,"")</f>
        <v/>
      </c>
      <c r="K251" s="3">
        <f>IF(UPPER(Configuracion!$B$2)="ON",ROUND(C251*(1-Configuracion!$B$3),0),ROUND(C251,0))</f>
        <v/>
      </c>
    </row>
    <row r="252" ht="12.9" customHeight="1">
      <c r="A252" s="2" t="n">
        <v>251</v>
      </c>
      <c r="B252" s="2" t="inlineStr">
        <is>
          <t>Bolso baguette - Negro</t>
        </is>
      </c>
      <c r="C252" s="3" t="n">
        <v>100</v>
      </c>
      <c r="D252" s="2" t="inlineStr">
        <is>
          <t>251.jpg</t>
        </is>
      </c>
      <c r="E252" s="2" t="inlineStr">
        <is>
          <t>Bolso baguette de líneas limpias y estilo moderno. Color Negro.</t>
        </is>
      </c>
      <c r="F252" s="2" t="inlineStr">
        <is>
          <t>Bolsos</t>
        </is>
      </c>
      <c r="G252" s="2" t="n">
        <v>2</v>
      </c>
      <c r="H252" s="2">
        <f>Configuracion!$B$2</f>
        <v/>
      </c>
      <c r="I252" s="4">
        <f>Configuracion!$B$3</f>
        <v/>
      </c>
      <c r="J252" s="2">
        <f>IF(UPPER(Configuracion!$B$2)="ON",Configuracion!$B$4,"")</f>
        <v/>
      </c>
      <c r="K252" s="3">
        <f>IF(UPPER(Configuracion!$B$2)="ON",ROUND(C252*(1-Configuracion!$B$3),0),ROUND(C252,0))</f>
        <v/>
      </c>
    </row>
    <row r="253">
      <c r="A253" s="2" t="n">
        <v>252</v>
      </c>
      <c r="B253" s="2" t="inlineStr">
        <is>
          <t>Bolso de viaje clásico - Marrón</t>
        </is>
      </c>
      <c r="C253" s="3" t="n">
        <v>115</v>
      </c>
      <c r="D253" s="2" t="inlineStr">
        <is>
          <t>252.jpg</t>
        </is>
      </c>
      <c r="E253" s="2" t="inlineStr">
        <is>
          <t>Bolso versátil de viaje con formato cómodo. Color Marrón.</t>
        </is>
      </c>
      <c r="F253" s="2" t="inlineStr">
        <is>
          <t>Bolsos</t>
        </is>
      </c>
      <c r="G253" s="2" t="n">
        <v>2</v>
      </c>
      <c r="H253" s="2">
        <f>Configuracion!$B$2</f>
        <v/>
      </c>
      <c r="I253" s="4">
        <f>Configuracion!$B$3</f>
        <v/>
      </c>
      <c r="J253" s="2">
        <f>IF(UPPER(Configuracion!$B$2)="ON",Configuracion!$B$4,"")</f>
        <v/>
      </c>
      <c r="K253" s="3">
        <f>IF(UPPER(Configuracion!$B$2)="ON",ROUND(C253*(1-Configuracion!$B$3),0),ROUND(C253,0))</f>
        <v/>
      </c>
    </row>
    <row r="254">
      <c r="A254" s="2" t="n">
        <v>253</v>
      </c>
      <c r="B254" s="2" t="inlineStr">
        <is>
          <t>Bolso bowling grande - Azul</t>
        </is>
      </c>
      <c r="C254" s="3" t="n">
        <v>110</v>
      </c>
      <c r="D254" s="2" t="inlineStr">
        <is>
          <t>253.jpg</t>
        </is>
      </c>
      <c r="E254" s="2" t="inlineStr">
        <is>
          <t>Bolso bowling amplio con estilo retro. Color Azul.</t>
        </is>
      </c>
      <c r="F254" s="2" t="inlineStr">
        <is>
          <t>Bolsos</t>
        </is>
      </c>
      <c r="G254" s="2" t="n">
        <v>2</v>
      </c>
      <c r="H254" s="2">
        <f>Configuracion!$B$2</f>
        <v/>
      </c>
      <c r="I254" s="4">
        <f>Configuracion!$B$3</f>
        <v/>
      </c>
      <c r="J254" s="2">
        <f>IF(UPPER(Configuracion!$B$2)="ON",Configuracion!$B$4,"")</f>
        <v/>
      </c>
      <c r="K254" s="3">
        <f>IF(UPPER(Configuracion!$B$2)="ON",ROUND(C254*(1-Configuracion!$B$3),0),ROUND(C254,0))</f>
        <v/>
      </c>
    </row>
    <row r="255">
      <c r="A255" s="2" t="n">
        <v>254</v>
      </c>
      <c r="B255" s="2" t="inlineStr">
        <is>
          <t>Bolso bowling grande - Negro</t>
        </is>
      </c>
      <c r="C255" s="3" t="n">
        <v>110</v>
      </c>
      <c r="D255" s="2" t="inlineStr">
        <is>
          <t>254.jpg</t>
        </is>
      </c>
      <c r="E255" s="2" t="inlineStr">
        <is>
          <t>Bolso bowling amplio con estilo retro. Color Negro.</t>
        </is>
      </c>
      <c r="F255" s="2" t="inlineStr">
        <is>
          <t>Bolsos</t>
        </is>
      </c>
      <c r="G255" s="2" t="n">
        <v>2</v>
      </c>
      <c r="H255" s="2">
        <f>Configuracion!$B$2</f>
        <v/>
      </c>
      <c r="I255" s="4">
        <f>Configuracion!$B$3</f>
        <v/>
      </c>
      <c r="J255" s="2">
        <f>IF(UPPER(Configuracion!$B$2)="ON",Configuracion!$B$4,"")</f>
        <v/>
      </c>
      <c r="K255" s="3">
        <f>IF(UPPER(Configuracion!$B$2)="ON",ROUND(C255*(1-Configuracion!$B$3),0),ROUND(C255,0))</f>
        <v/>
      </c>
    </row>
    <row r="256">
      <c r="A256" s="2" t="n">
        <v>255</v>
      </c>
      <c r="B256" s="2" t="inlineStr">
        <is>
          <t>Bolso bowling grande - Blanco</t>
        </is>
      </c>
      <c r="C256" s="3" t="n">
        <v>110</v>
      </c>
      <c r="D256" s="2" t="inlineStr">
        <is>
          <t>255.jpg</t>
        </is>
      </c>
      <c r="E256" s="2" t="inlineStr">
        <is>
          <t>Bolso bowling amplio con estilo retro. Color Blanco.</t>
        </is>
      </c>
      <c r="F256" s="2" t="inlineStr">
        <is>
          <t>Bolsos</t>
        </is>
      </c>
      <c r="G256" s="2" t="n">
        <v>2</v>
      </c>
      <c r="H256" s="2">
        <f>Configuracion!$B$2</f>
        <v/>
      </c>
      <c r="I256" s="4">
        <f>Configuracion!$B$3</f>
        <v/>
      </c>
      <c r="J256" s="2">
        <f>IF(UPPER(Configuracion!$B$2)="ON",Configuracion!$B$4,"")</f>
        <v/>
      </c>
      <c r="K256" s="3">
        <f>IF(UPPER(Configuracion!$B$2)="ON",ROUND(C256*(1-Configuracion!$B$3),0),ROUND(C256,0))</f>
        <v/>
      </c>
    </row>
    <row r="257">
      <c r="A257" s="2" t="n">
        <v>256</v>
      </c>
      <c r="B257" s="2" t="inlineStr">
        <is>
          <t>Bolso bowling grande - Marrón</t>
        </is>
      </c>
      <c r="C257" s="3" t="n">
        <v>110</v>
      </c>
      <c r="D257" s="2" t="inlineStr">
        <is>
          <t>256.jpg</t>
        </is>
      </c>
      <c r="E257" s="2" t="inlineStr">
        <is>
          <t>Bolso bowling amplio con estilo retro. Color Marrón.</t>
        </is>
      </c>
      <c r="F257" s="2" t="inlineStr">
        <is>
          <t>Bolsos</t>
        </is>
      </c>
      <c r="G257" s="2" t="n">
        <v>2</v>
      </c>
      <c r="H257" s="2">
        <f>Configuracion!$B$2</f>
        <v/>
      </c>
      <c r="I257" s="4">
        <f>Configuracion!$B$3</f>
        <v/>
      </c>
      <c r="J257" s="2">
        <f>IF(UPPER(Configuracion!$B$2)="ON",Configuracion!$B$4,"")</f>
        <v/>
      </c>
      <c r="K257" s="3">
        <f>IF(UPPER(Configuracion!$B$2)="ON",ROUND(C257*(1-Configuracion!$B$3),0),ROUND(C257,0))</f>
        <v/>
      </c>
    </row>
    <row r="258" ht="12.9" customHeight="1">
      <c r="A258" s="2" t="n">
        <v>257</v>
      </c>
      <c r="B258" s="2" t="inlineStr">
        <is>
          <t>Bolso bowling retro - Negro</t>
        </is>
      </c>
      <c r="C258" s="3" t="n">
        <v>140</v>
      </c>
      <c r="D258" s="2" t="inlineStr">
        <is>
          <t>257.jpg</t>
        </is>
      </c>
      <c r="E258" s="2" t="inlineStr">
        <is>
          <t>Bolso tipo bowling con textura retro y tamaño compacto. Color Negro.</t>
        </is>
      </c>
      <c r="F258" s="2" t="inlineStr">
        <is>
          <t>Bolsos</t>
        </is>
      </c>
      <c r="G258" s="2" t="n">
        <v>3</v>
      </c>
      <c r="H258" s="2">
        <f>Configuracion!$B$2</f>
        <v/>
      </c>
      <c r="I258" s="4">
        <f>Configuracion!$B$3</f>
        <v/>
      </c>
      <c r="J258" s="2">
        <f>IF(UPPER(Configuracion!$B$2)="ON",Configuracion!$B$4,"")</f>
        <v/>
      </c>
      <c r="K258" s="3">
        <f>IF(UPPER(Configuracion!$B$2)="ON",ROUND(C258*(1-Configuracion!$B$3),0),ROUND(C258,0))</f>
        <v/>
      </c>
    </row>
    <row r="259" ht="12.9" customHeight="1">
      <c r="A259" s="2" t="n">
        <v>258</v>
      </c>
      <c r="B259" s="2" t="inlineStr">
        <is>
          <t>Bolso bowling retro - Burdeos</t>
        </is>
      </c>
      <c r="C259" s="3" t="n">
        <v>140</v>
      </c>
      <c r="D259" s="2" t="inlineStr">
        <is>
          <t>258.jpg</t>
        </is>
      </c>
      <c r="E259" s="2" t="inlineStr">
        <is>
          <t>Bolso tipo bowling con textura retro y tamaño compacto. Color Burdeos.</t>
        </is>
      </c>
      <c r="F259" s="2" t="inlineStr">
        <is>
          <t>Bolsos</t>
        </is>
      </c>
      <c r="G259" s="2" t="n">
        <v>3</v>
      </c>
      <c r="H259" s="2">
        <f>Configuracion!$B$2</f>
        <v/>
      </c>
      <c r="I259" s="4">
        <f>Configuracion!$B$3</f>
        <v/>
      </c>
      <c r="J259" s="2">
        <f>IF(UPPER(Configuracion!$B$2)="ON",Configuracion!$B$4,"")</f>
        <v/>
      </c>
      <c r="K259" s="3">
        <f>IF(UPPER(Configuracion!$B$2)="ON",ROUND(C259*(1-Configuracion!$B$3),0),ROUND(C259,0))</f>
        <v/>
      </c>
    </row>
    <row r="260" ht="12.9" customHeight="1">
      <c r="A260" s="2" t="n">
        <v>259</v>
      </c>
      <c r="B260" s="2" t="inlineStr">
        <is>
          <t>Bolso denim Fat Cat - Azul denim</t>
        </is>
      </c>
      <c r="C260" s="3" t="n">
        <v>130</v>
      </c>
      <c r="D260" s="2" t="inlineStr">
        <is>
          <t>259.jpg</t>
        </is>
      </c>
      <c r="E260" s="2" t="inlineStr">
        <is>
          <t>Bolso denim con diseño llamativo y estilo casual. Color Azul denim.</t>
        </is>
      </c>
      <c r="F260" s="2" t="inlineStr">
        <is>
          <t>Bolsos</t>
        </is>
      </c>
      <c r="G260" s="2" t="n">
        <v>3</v>
      </c>
      <c r="H260" s="2">
        <f>Configuracion!$B$2</f>
        <v/>
      </c>
      <c r="I260" s="4">
        <f>Configuracion!$B$3</f>
        <v/>
      </c>
      <c r="J260" s="2">
        <f>IF(UPPER(Configuracion!$B$2)="ON",Configuracion!$B$4,"")</f>
        <v/>
      </c>
      <c r="K260" s="3">
        <f>IF(UPPER(Configuracion!$B$2)="ON",ROUND(C260*(1-Configuracion!$B$3),0),ROUND(C260,0))</f>
        <v/>
      </c>
    </row>
    <row r="261">
      <c r="A261" s="2" t="n">
        <v>260</v>
      </c>
      <c r="B261" s="2" t="inlineStr">
        <is>
          <t>Mini bolso de cordero - Caqui</t>
        </is>
      </c>
      <c r="C261" s="3" t="n">
        <v>110</v>
      </c>
      <c r="D261" s="2" t="inlineStr">
        <is>
          <t>260.jpg</t>
        </is>
      </c>
      <c r="E261" s="2" t="inlineStr">
        <is>
          <t>Mini bolso suave con acabado de piel sintética. Color Caqui.</t>
        </is>
      </c>
      <c r="F261" s="2" t="inlineStr">
        <is>
          <t>Bolsos</t>
        </is>
      </c>
      <c r="G261" s="2" t="n">
        <v>5</v>
      </c>
      <c r="H261" s="2">
        <f>Configuracion!$B$2</f>
        <v/>
      </c>
      <c r="I261" s="4">
        <f>Configuracion!$B$3</f>
        <v/>
      </c>
      <c r="J261" s="2">
        <f>IF(UPPER(Configuracion!$B$2)="ON",Configuracion!$B$4,"")</f>
        <v/>
      </c>
      <c r="K261" s="3">
        <f>IF(UPPER(Configuracion!$B$2)="ON",ROUND(C261*(1-Configuracion!$B$3),0),ROUND(C261,0))</f>
        <v/>
      </c>
    </row>
    <row r="262">
      <c r="A262" s="2" t="n">
        <v>261</v>
      </c>
      <c r="B262" s="2" t="inlineStr">
        <is>
          <t>Mini bolso de encaje</t>
        </is>
      </c>
      <c r="C262" s="3" t="n">
        <v>105</v>
      </c>
      <c r="D262" s="2" t="inlineStr">
        <is>
          <t>261.jpg</t>
        </is>
      </c>
      <c r="E262" s="2" t="inlineStr">
        <is>
          <t>Mini bolso delicado con detalle de encaje.</t>
        </is>
      </c>
      <c r="F262" s="2" t="inlineStr">
        <is>
          <t>Bolsos</t>
        </is>
      </c>
      <c r="G262" s="2" t="n">
        <v>4</v>
      </c>
      <c r="H262" s="2">
        <f>Configuracion!$B$2</f>
        <v/>
      </c>
      <c r="I262" s="4">
        <f>Configuracion!$B$3</f>
        <v/>
      </c>
      <c r="J262" s="2">
        <f>IF(UPPER(Configuracion!$B$2)="ON",Configuracion!$B$4,"")</f>
        <v/>
      </c>
      <c r="K262" s="3">
        <f>IF(UPPER(Configuracion!$B$2)="ON",ROUND(C262*(1-Configuracion!$B$3),0),ROUND(C262,0))</f>
        <v/>
      </c>
    </row>
    <row r="263" ht="12.9" customHeight="1">
      <c r="A263" s="2" t="n">
        <v>262</v>
      </c>
      <c r="B263" s="2" t="inlineStr">
        <is>
          <t>Bolso de noche irregular - Naranja</t>
        </is>
      </c>
      <c r="C263" s="3" t="n">
        <v>125</v>
      </c>
      <c r="D263" s="2" t="inlineStr">
        <is>
          <t>262.jpg</t>
        </is>
      </c>
      <c r="E263" s="2" t="inlineStr">
        <is>
          <t>Bolso de noche estructurado con forma irregular. Color Naranja.</t>
        </is>
      </c>
      <c r="F263" s="2" t="inlineStr">
        <is>
          <t>Bolsos</t>
        </is>
      </c>
      <c r="G263" s="2" t="n">
        <v>1</v>
      </c>
      <c r="H263" s="2">
        <f>Configuracion!$B$2</f>
        <v/>
      </c>
      <c r="I263" s="4">
        <f>Configuracion!$B$3</f>
        <v/>
      </c>
      <c r="J263" s="2">
        <f>IF(UPPER(Configuracion!$B$2)="ON",Configuracion!$B$4,"")</f>
        <v/>
      </c>
      <c r="K263" s="3">
        <f>IF(UPPER(Configuracion!$B$2)="ON",ROUND(C263*(1-Configuracion!$B$3),0),ROUND(C263,0))</f>
        <v/>
      </c>
    </row>
    <row r="264" ht="12.9" customHeight="1">
      <c r="A264" s="2" t="n">
        <v>263</v>
      </c>
      <c r="B264" s="2" t="inlineStr">
        <is>
          <t>Bolso de noche irregular - Morado claro</t>
        </is>
      </c>
      <c r="C264" s="3" t="n">
        <v>125</v>
      </c>
      <c r="D264" s="2" t="inlineStr">
        <is>
          <t>263.jpg</t>
        </is>
      </c>
      <c r="E264" s="2" t="inlineStr">
        <is>
          <t>Bolso de noche estructurado con forma irregular. Color Morado claro.</t>
        </is>
      </c>
      <c r="F264" s="2" t="inlineStr">
        <is>
          <t>Bolsos</t>
        </is>
      </c>
      <c r="G264" s="2" t="n">
        <v>1</v>
      </c>
      <c r="H264" s="2">
        <f>Configuracion!$B$2</f>
        <v/>
      </c>
      <c r="I264" s="4">
        <f>Configuracion!$B$3</f>
        <v/>
      </c>
      <c r="J264" s="2">
        <f>IF(UPPER(Configuracion!$B$2)="ON",Configuracion!$B$4,"")</f>
        <v/>
      </c>
      <c r="K264" s="3">
        <f>IF(UPPER(Configuracion!$B$2)="ON",ROUND(C264*(1-Configuracion!$B$3),0),ROUND(C264,0))</f>
        <v/>
      </c>
    </row>
    <row r="265" ht="12.9" customHeight="1">
      <c r="A265" s="2" t="n">
        <v>264</v>
      </c>
      <c r="B265" s="2" t="inlineStr">
        <is>
          <t>Bolso de fiesta pavo real - Plata</t>
        </is>
      </c>
      <c r="C265" s="3" t="n">
        <v>180</v>
      </c>
      <c r="D265" s="2" t="inlineStr">
        <is>
          <t>264.jpg</t>
        </is>
      </c>
      <c r="E265" s="2" t="inlineStr">
        <is>
          <t>Bolso de fiesta con brillo y detalle inspirado en pavo real. Color Plata.</t>
        </is>
      </c>
      <c r="F265" s="2" t="inlineStr">
        <is>
          <t>Bolsos</t>
        </is>
      </c>
      <c r="G265" s="2" t="n">
        <v>1</v>
      </c>
      <c r="H265" s="2">
        <f>Configuracion!$B$2</f>
        <v/>
      </c>
      <c r="I265" s="4">
        <f>Configuracion!$B$3</f>
        <v/>
      </c>
      <c r="J265" s="2">
        <f>IF(UPPER(Configuracion!$B$2)="ON",Configuracion!$B$4,"")</f>
        <v/>
      </c>
      <c r="K265" s="3">
        <f>IF(UPPER(Configuracion!$B$2)="ON",ROUND(C265*(1-Configuracion!$B$3),0),ROUND(C265,0))</f>
        <v/>
      </c>
    </row>
    <row r="266" ht="12.9" customHeight="1">
      <c r="A266" s="2" t="n">
        <v>265</v>
      </c>
      <c r="B266" s="2" t="inlineStr">
        <is>
          <t>Bolso de fiesta pavo real - Verde</t>
        </is>
      </c>
      <c r="C266" s="3" t="n">
        <v>180</v>
      </c>
      <c r="D266" s="2" t="inlineStr">
        <is>
          <t>265.jpg</t>
        </is>
      </c>
      <c r="E266" s="2" t="inlineStr">
        <is>
          <t>Bolso de fiesta con brillo y detalle inspirado en pavo real. Color Verde.</t>
        </is>
      </c>
      <c r="F266" s="2" t="inlineStr">
        <is>
          <t>Bolsos</t>
        </is>
      </c>
      <c r="G266" s="2" t="n">
        <v>1</v>
      </c>
      <c r="H266" s="2">
        <f>Configuracion!$B$2</f>
        <v/>
      </c>
      <c r="I266" s="4">
        <f>Configuracion!$B$3</f>
        <v/>
      </c>
      <c r="J266" s="2">
        <f>IF(UPPER(Configuracion!$B$2)="ON",Configuracion!$B$4,"")</f>
        <v/>
      </c>
      <c r="K266" s="3">
        <f>IF(UPPER(Configuracion!$B$2)="ON",ROUND(C266*(1-Configuracion!$B$3),0),ROUND(C266,0))</f>
        <v/>
      </c>
    </row>
    <row r="267" ht="12.9" customHeight="1">
      <c r="A267" s="2" t="n">
        <v>266</v>
      </c>
      <c r="B267" s="2" t="inlineStr">
        <is>
          <t>Bolso de fiesta pavo real - Negro</t>
        </is>
      </c>
      <c r="C267" s="3" t="n">
        <v>180</v>
      </c>
      <c r="D267" s="2" t="inlineStr">
        <is>
          <t>266.jpg</t>
        </is>
      </c>
      <c r="E267" s="2" t="inlineStr">
        <is>
          <t>Bolso de fiesta con brillo y detalle inspirado en pavo real. Color Negro.</t>
        </is>
      </c>
      <c r="F267" s="2" t="inlineStr">
        <is>
          <t>Bolsos</t>
        </is>
      </c>
      <c r="G267" s="2" t="n">
        <v>1</v>
      </c>
      <c r="H267" s="2">
        <f>Configuracion!$B$2</f>
        <v/>
      </c>
      <c r="I267" s="4">
        <f>Configuracion!$B$3</f>
        <v/>
      </c>
      <c r="J267" s="2">
        <f>IF(UPPER(Configuracion!$B$2)="ON",Configuracion!$B$4,"")</f>
        <v/>
      </c>
      <c r="K267" s="3">
        <f>IF(UPPER(Configuracion!$B$2)="ON",ROUND(C267*(1-Configuracion!$B$3),0),ROUND(C267,0))</f>
        <v/>
      </c>
    </row>
    <row r="268">
      <c r="A268" s="2" t="n">
        <v>267</v>
      </c>
      <c r="B268" s="2" t="inlineStr">
        <is>
          <t>Bolso floral de fiesta - Caqui</t>
        </is>
      </c>
      <c r="C268" s="3" t="n">
        <v>200</v>
      </c>
      <c r="D268" s="2" t="inlineStr">
        <is>
          <t>267.jpg</t>
        </is>
      </c>
      <c r="E268" s="2" t="inlineStr">
        <is>
          <t>Bolso floral ideal para fiesta o evento. Color Caqui.</t>
        </is>
      </c>
      <c r="F268" s="2" t="inlineStr">
        <is>
          <t>Bolsos</t>
        </is>
      </c>
      <c r="G268" s="2" t="n">
        <v>3</v>
      </c>
      <c r="H268" s="2">
        <f>Configuracion!$B$2</f>
        <v/>
      </c>
      <c r="I268" s="4">
        <f>Configuracion!$B$3</f>
        <v/>
      </c>
      <c r="J268" s="2">
        <f>IF(UPPER(Configuracion!$B$2)="ON",Configuracion!$B$4,"")</f>
        <v/>
      </c>
      <c r="K268" s="3">
        <f>IF(UPPER(Configuracion!$B$2)="ON",ROUND(C268*(1-Configuracion!$B$3),0),ROUND(C268,0))</f>
        <v/>
      </c>
    </row>
    <row r="269">
      <c r="A269" s="2" t="n">
        <v>268</v>
      </c>
      <c r="B269" s="2" t="inlineStr">
        <is>
          <t>Bolso floral de fiesta - Rosa</t>
        </is>
      </c>
      <c r="C269" s="3" t="n">
        <v>200</v>
      </c>
      <c r="D269" s="2" t="inlineStr">
        <is>
          <t>268.jpg</t>
        </is>
      </c>
      <c r="E269" s="2" t="inlineStr">
        <is>
          <t>Bolso floral ideal para fiesta o evento. Color Rosa.</t>
        </is>
      </c>
      <c r="F269" s="2" t="inlineStr">
        <is>
          <t>Bolsos</t>
        </is>
      </c>
      <c r="G269" s="2" t="n">
        <v>3</v>
      </c>
      <c r="H269" s="2">
        <f>Configuracion!$B$2</f>
        <v/>
      </c>
      <c r="I269" s="4">
        <f>Configuracion!$B$3</f>
        <v/>
      </c>
      <c r="J269" s="2">
        <f>IF(UPPER(Configuracion!$B$2)="ON",Configuracion!$B$4,"")</f>
        <v/>
      </c>
      <c r="K269" s="3">
        <f>IF(UPPER(Configuracion!$B$2)="ON",ROUND(C269*(1-Configuracion!$B$3),0),ROUND(C269,0))</f>
        <v/>
      </c>
    </row>
    <row r="270">
      <c r="A270" s="2" t="n">
        <v>269</v>
      </c>
      <c r="B270" s="2" t="inlineStr">
        <is>
          <t>Bolso floral de fiesta - Blanco roto</t>
        </is>
      </c>
      <c r="C270" s="3" t="n">
        <v>200</v>
      </c>
      <c r="D270" s="2" t="inlineStr">
        <is>
          <t>269.jpg</t>
        </is>
      </c>
      <c r="E270" s="2" t="inlineStr">
        <is>
          <t>Bolso floral ideal para fiesta o evento. Color Blanco roto.</t>
        </is>
      </c>
      <c r="F270" s="2" t="inlineStr">
        <is>
          <t>Bolsos</t>
        </is>
      </c>
      <c r="G270" s="2" t="n">
        <v>3</v>
      </c>
      <c r="H270" s="2">
        <f>Configuracion!$B$2</f>
        <v/>
      </c>
      <c r="I270" s="4">
        <f>Configuracion!$B$3</f>
        <v/>
      </c>
      <c r="J270" s="2">
        <f>IF(UPPER(Configuracion!$B$2)="ON",Configuracion!$B$4,"")</f>
        <v/>
      </c>
      <c r="K270" s="3">
        <f>IF(UPPER(Configuracion!$B$2)="ON",ROUND(C270*(1-Configuracion!$B$3),0),ROUND(C270,0))</f>
        <v/>
      </c>
    </row>
    <row r="271" ht="12.9" customHeight="1">
      <c r="A271" s="2" t="n">
        <v>270</v>
      </c>
      <c r="B271" s="2" t="inlineStr">
        <is>
          <t>Bolso floral de novia - Champán</t>
        </is>
      </c>
      <c r="C271" s="3" t="n">
        <v>155</v>
      </c>
      <c r="D271" s="2" t="inlineStr">
        <is>
          <t>270.jpg</t>
        </is>
      </c>
      <c r="E271" s="2" t="inlineStr">
        <is>
          <t>Bolso floral elegante para novia o ceremonia. Color Champán.</t>
        </is>
      </c>
      <c r="F271" s="2" t="inlineStr">
        <is>
          <t>Bolsos</t>
        </is>
      </c>
      <c r="G271" s="2" t="n">
        <v>2</v>
      </c>
      <c r="H271" s="2">
        <f>Configuracion!$B$2</f>
        <v/>
      </c>
      <c r="I271" s="4">
        <f>Configuracion!$B$3</f>
        <v/>
      </c>
      <c r="J271" s="2">
        <f>IF(UPPER(Configuracion!$B$2)="ON",Configuracion!$B$4,"")</f>
        <v/>
      </c>
      <c r="K271" s="3">
        <f>IF(UPPER(Configuracion!$B$2)="ON",ROUND(C271*(1-Configuracion!$B$3),0),ROUND(C271,0))</f>
        <v/>
      </c>
    </row>
    <row r="272">
      <c r="A272" s="2" t="n">
        <v>271</v>
      </c>
      <c r="B272" s="2" t="inlineStr">
        <is>
          <t>Bolso floral de novia - Rosa</t>
        </is>
      </c>
      <c r="C272" s="3" t="n">
        <v>155</v>
      </c>
      <c r="D272" s="2" t="inlineStr">
        <is>
          <t>271.jpg</t>
        </is>
      </c>
      <c r="E272" s="2" t="inlineStr">
        <is>
          <t>Bolso floral elegante para novia o ceremonia. Color Rosa.</t>
        </is>
      </c>
      <c r="F272" s="2" t="inlineStr">
        <is>
          <t>Bolsos</t>
        </is>
      </c>
      <c r="G272" s="2" t="n">
        <v>2</v>
      </c>
      <c r="H272" s="2">
        <f>Configuracion!$B$2</f>
        <v/>
      </c>
      <c r="I272" s="4">
        <f>Configuracion!$B$3</f>
        <v/>
      </c>
      <c r="J272" s="2">
        <f>IF(UPPER(Configuracion!$B$2)="ON",Configuracion!$B$4,"")</f>
        <v/>
      </c>
      <c r="K272" s="3">
        <f>IF(UPPER(Configuracion!$B$2)="ON",ROUND(C272*(1-Configuracion!$B$3),0),ROUND(C272,0))</f>
        <v/>
      </c>
    </row>
    <row r="273">
      <c r="A273" s="2" t="n">
        <v>272</v>
      </c>
      <c r="B273" s="2" t="inlineStr">
        <is>
          <t>Bolso floral de novia - Negro</t>
        </is>
      </c>
      <c r="C273" s="3" t="n">
        <v>155</v>
      </c>
      <c r="D273" s="2" t="inlineStr">
        <is>
          <t>272.jpg</t>
        </is>
      </c>
      <c r="E273" s="2" t="inlineStr">
        <is>
          <t>Bolso floral elegante para novia o ceremonia. Color Negro.</t>
        </is>
      </c>
      <c r="F273" s="2" t="inlineStr">
        <is>
          <t>Bolsos</t>
        </is>
      </c>
      <c r="G273" s="2" t="n">
        <v>2</v>
      </c>
      <c r="H273" s="2">
        <f>Configuracion!$B$2</f>
        <v/>
      </c>
      <c r="I273" s="4">
        <f>Configuracion!$B$3</f>
        <v/>
      </c>
      <c r="J273" s="2">
        <f>IF(UPPER(Configuracion!$B$2)="ON",Configuracion!$B$4,"")</f>
        <v/>
      </c>
      <c r="K273" s="3">
        <f>IF(UPPER(Configuracion!$B$2)="ON",ROUND(C273*(1-Configuracion!$B$3),0),ROUND(C273,0))</f>
        <v/>
      </c>
    </row>
    <row r="274" ht="12.9" customHeight="1">
      <c r="A274" s="2" t="n">
        <v>273</v>
      </c>
      <c r="B274" s="2" t="inlineStr">
        <is>
          <t>Bolso cubo texturizado - Caqui</t>
        </is>
      </c>
      <c r="C274" s="3" t="n">
        <v>125</v>
      </c>
      <c r="D274" s="2" t="inlineStr">
        <is>
          <t>273.jpg</t>
        </is>
      </c>
      <c r="E274" s="2" t="inlineStr">
        <is>
          <t>Bolso cubo con textura marcada y look elegante. Color Caqui.</t>
        </is>
      </c>
      <c r="F274" s="2" t="inlineStr">
        <is>
          <t>Bolsos</t>
        </is>
      </c>
      <c r="G274" s="2" t="n">
        <v>2</v>
      </c>
      <c r="H274" s="2">
        <f>Configuracion!$B$2</f>
        <v/>
      </c>
      <c r="I274" s="4">
        <f>Configuracion!$B$3</f>
        <v/>
      </c>
      <c r="J274" s="2">
        <f>IF(UPPER(Configuracion!$B$2)="ON",Configuracion!$B$4,"")</f>
        <v/>
      </c>
      <c r="K274" s="3">
        <f>IF(UPPER(Configuracion!$B$2)="ON",ROUND(C274*(1-Configuracion!$B$3),0),ROUND(C274,0))</f>
        <v/>
      </c>
    </row>
    <row r="275" ht="12.9" customHeight="1">
      <c r="A275" s="2" t="n">
        <v>274</v>
      </c>
      <c r="B275" s="2" t="inlineStr">
        <is>
          <t>Bolso cubo texturizado - Negro</t>
        </is>
      </c>
      <c r="C275" s="3" t="n">
        <v>125</v>
      </c>
      <c r="D275" s="2" t="inlineStr">
        <is>
          <t>274.jpg</t>
        </is>
      </c>
      <c r="E275" s="2" t="inlineStr">
        <is>
          <t>Bolso cubo con textura marcada y look elegante. Color Negro.</t>
        </is>
      </c>
      <c r="F275" s="2" t="inlineStr">
        <is>
          <t>Bolsos</t>
        </is>
      </c>
      <c r="G275" s="2" t="n">
        <v>2</v>
      </c>
      <c r="H275" s="2">
        <f>Configuracion!$B$2</f>
        <v/>
      </c>
      <c r="I275" s="4">
        <f>Configuracion!$B$3</f>
        <v/>
      </c>
      <c r="J275" s="2">
        <f>IF(UPPER(Configuracion!$B$2)="ON",Configuracion!$B$4,"")</f>
        <v/>
      </c>
      <c r="K275" s="3">
        <f>IF(UPPER(Configuracion!$B$2)="ON",ROUND(C275*(1-Configuracion!$B$3),0),ROUND(C275,0))</f>
        <v/>
      </c>
    </row>
    <row r="276" ht="12.9" customHeight="1">
      <c r="A276" s="2" t="n">
        <v>275</v>
      </c>
      <c r="B276" s="2" t="inlineStr">
        <is>
          <t>Bolso cubo texturizado - Marrón - Modelo 1</t>
        </is>
      </c>
      <c r="C276" s="3" t="n">
        <v>125</v>
      </c>
      <c r="D276" s="2" t="inlineStr">
        <is>
          <t>275.jpg</t>
        </is>
      </c>
      <c r="E276" s="2" t="inlineStr">
        <is>
          <t>Bolso cubo con textura marcada y look elegante. Color Marrón.</t>
        </is>
      </c>
      <c r="F276" s="2" t="inlineStr">
        <is>
          <t>Bolsos</t>
        </is>
      </c>
      <c r="G276" s="2" t="n">
        <v>2</v>
      </c>
      <c r="H276" s="2">
        <f>Configuracion!$B$2</f>
        <v/>
      </c>
      <c r="I276" s="4">
        <f>Configuracion!$B$3</f>
        <v/>
      </c>
      <c r="J276" s="2">
        <f>IF(UPPER(Configuracion!$B$2)="ON",Configuracion!$B$4,"")</f>
        <v/>
      </c>
      <c r="K276" s="3">
        <f>IF(UPPER(Configuracion!$B$2)="ON",ROUND(C276*(1-Configuracion!$B$3),0),ROUND(C276,0))</f>
        <v/>
      </c>
    </row>
    <row r="277" ht="12.9" customHeight="1">
      <c r="A277" s="2" t="n">
        <v>276</v>
      </c>
      <c r="B277" s="2" t="inlineStr">
        <is>
          <t>Bolso cubo texturizado - Marrón - Modelo 2</t>
        </is>
      </c>
      <c r="C277" s="3" t="n">
        <v>125</v>
      </c>
      <c r="D277" s="2" t="inlineStr">
        <is>
          <t>276.jpg</t>
        </is>
      </c>
      <c r="E277" s="2" t="inlineStr">
        <is>
          <t>Bolso cubo con textura marcada y look elegante. Color Marrón.</t>
        </is>
      </c>
      <c r="F277" s="2" t="inlineStr">
        <is>
          <t>Bolsos</t>
        </is>
      </c>
      <c r="G277" s="2" t="n">
        <v>2</v>
      </c>
      <c r="H277" s="2">
        <f>Configuracion!$B$2</f>
        <v/>
      </c>
      <c r="I277" s="4">
        <f>Configuracion!$B$3</f>
        <v/>
      </c>
      <c r="J277" s="2">
        <f>IF(UPPER(Configuracion!$B$2)="ON",Configuracion!$B$4,"")</f>
        <v/>
      </c>
      <c r="K277" s="3">
        <f>IF(UPPER(Configuracion!$B$2)="ON",ROUND(C277*(1-Configuracion!$B$3),0),ROUND(C277,0))</f>
        <v/>
      </c>
    </row>
    <row r="278" ht="12.9" customHeight="1">
      <c r="A278" s="2" t="n">
        <v>277</v>
      </c>
      <c r="B278" s="2" t="inlineStr">
        <is>
          <t>Bolso retro afelpado - Marrón</t>
        </is>
      </c>
      <c r="C278" s="3" t="n">
        <v>130</v>
      </c>
      <c r="D278" s="2" t="inlineStr">
        <is>
          <t>277.jpg</t>
        </is>
      </c>
      <c r="E278" s="2" t="inlineStr">
        <is>
          <t>Bolso suave con acabado afelpado y estilo retro. Color Marrón.</t>
        </is>
      </c>
      <c r="F278" s="2" t="inlineStr">
        <is>
          <t>Bolsos</t>
        </is>
      </c>
      <c r="G278" s="2" t="n">
        <v>2</v>
      </c>
      <c r="H278" s="2">
        <f>Configuracion!$B$2</f>
        <v/>
      </c>
      <c r="I278" s="4">
        <f>Configuracion!$B$3</f>
        <v/>
      </c>
      <c r="J278" s="2">
        <f>IF(UPPER(Configuracion!$B$2)="ON",Configuracion!$B$4,"")</f>
        <v/>
      </c>
      <c r="K278" s="3">
        <f>IF(UPPER(Configuracion!$B$2)="ON",ROUND(C278*(1-Configuracion!$B$3),0),ROUND(C278,0))</f>
        <v/>
      </c>
    </row>
    <row r="279">
      <c r="A279" s="2" t="n">
        <v>278</v>
      </c>
      <c r="B279" s="2" t="inlineStr">
        <is>
          <t>Bolso retro afelpado - Rosa</t>
        </is>
      </c>
      <c r="C279" s="3" t="n">
        <v>130</v>
      </c>
      <c r="D279" s="2" t="inlineStr">
        <is>
          <t>278.jpg</t>
        </is>
      </c>
      <c r="E279" s="2" t="inlineStr">
        <is>
          <t>Bolso suave con acabado afelpado y estilo retro. Color Rosa.</t>
        </is>
      </c>
      <c r="F279" s="2" t="inlineStr">
        <is>
          <t>Bolsos</t>
        </is>
      </c>
      <c r="G279" s="2" t="n">
        <v>2</v>
      </c>
      <c r="H279" s="2">
        <f>Configuracion!$B$2</f>
        <v/>
      </c>
      <c r="I279" s="4">
        <f>Configuracion!$B$3</f>
        <v/>
      </c>
      <c r="J279" s="2">
        <f>IF(UPPER(Configuracion!$B$2)="ON",Configuracion!$B$4,"")</f>
        <v/>
      </c>
      <c r="K279" s="3">
        <f>IF(UPPER(Configuracion!$B$2)="ON",ROUND(C279*(1-Configuracion!$B$3),0),ROUND(C279,0))</f>
        <v/>
      </c>
    </row>
    <row r="280">
      <c r="A280" s="2" t="n">
        <v>279</v>
      </c>
      <c r="B280" s="2" t="inlineStr">
        <is>
          <t>Bolso media luna - Negro</t>
        </is>
      </c>
      <c r="C280" s="3" t="n">
        <v>125</v>
      </c>
      <c r="D280" s="2" t="inlineStr">
        <is>
          <t>279.jpg</t>
        </is>
      </c>
      <c r="E280" s="2" t="inlineStr">
        <is>
          <t>Bolso media luna cómodo para uso diario. Color Negro.</t>
        </is>
      </c>
      <c r="F280" s="2" t="inlineStr">
        <is>
          <t>Bolsos</t>
        </is>
      </c>
      <c r="G280" s="2" t="n">
        <v>2</v>
      </c>
      <c r="H280" s="2">
        <f>Configuracion!$B$2</f>
        <v/>
      </c>
      <c r="I280" s="4">
        <f>Configuracion!$B$3</f>
        <v/>
      </c>
      <c r="J280" s="2">
        <f>IF(UPPER(Configuracion!$B$2)="ON",Configuracion!$B$4,"")</f>
        <v/>
      </c>
      <c r="K280" s="3">
        <f>IF(UPPER(Configuracion!$B$2)="ON",ROUND(C280*(1-Configuracion!$B$3),0),ROUND(C280,0))</f>
        <v/>
      </c>
    </row>
    <row r="281" ht="12.9" customHeight="1">
      <c r="A281" s="2" t="n">
        <v>280</v>
      </c>
      <c r="B281" s="2" t="inlineStr">
        <is>
          <t>Bolso media luna - Blanco luz de luna</t>
        </is>
      </c>
      <c r="C281" s="3" t="n">
        <v>125</v>
      </c>
      <c r="D281" s="2" t="inlineStr">
        <is>
          <t>280.jpg</t>
        </is>
      </c>
      <c r="E281" s="2" t="inlineStr">
        <is>
          <t>Bolso media luna cómodo para uso diario. Color Blanco luz de luna.</t>
        </is>
      </c>
      <c r="F281" s="2" t="inlineStr">
        <is>
          <t>Bolsos</t>
        </is>
      </c>
      <c r="G281" s="2" t="n">
        <v>2</v>
      </c>
      <c r="H281" s="2">
        <f>Configuracion!$B$2</f>
        <v/>
      </c>
      <c r="I281" s="4">
        <f>Configuracion!$B$3</f>
        <v/>
      </c>
      <c r="J281" s="2">
        <f>IF(UPPER(Configuracion!$B$2)="ON",Configuracion!$B$4,"")</f>
        <v/>
      </c>
      <c r="K281" s="3">
        <f>IF(UPPER(Configuracion!$B$2)="ON",ROUND(C281*(1-Configuracion!$B$3),0),ROUND(C281,0))</f>
        <v/>
      </c>
    </row>
    <row r="282" ht="12.9" customHeight="1">
      <c r="A282" s="2" t="n">
        <v>281</v>
      </c>
      <c r="B282" s="2" t="inlineStr">
        <is>
          <t>Bolso media luna - Rojo cereza</t>
        </is>
      </c>
      <c r="C282" s="3" t="n">
        <v>125</v>
      </c>
      <c r="D282" s="2" t="inlineStr">
        <is>
          <t>281.jpg</t>
        </is>
      </c>
      <c r="E282" s="2" t="inlineStr">
        <is>
          <t>Bolso media luna cómodo para uso diario. Color Rojo cereza.</t>
        </is>
      </c>
      <c r="F282" s="2" t="inlineStr">
        <is>
          <t>Bolsos</t>
        </is>
      </c>
      <c r="G282" s="2" t="n">
        <v>2</v>
      </c>
      <c r="H282" s="2">
        <f>Configuracion!$B$2</f>
        <v/>
      </c>
      <c r="I282" s="4">
        <f>Configuracion!$B$3</f>
        <v/>
      </c>
      <c r="J282" s="2">
        <f>IF(UPPER(Configuracion!$B$2)="ON",Configuracion!$B$4,"")</f>
        <v/>
      </c>
      <c r="K282" s="3">
        <f>IF(UPPER(Configuracion!$B$2)="ON",ROUND(C282*(1-Configuracion!$B$3),0),ROUND(C282,0))</f>
        <v/>
      </c>
    </row>
    <row r="283" ht="12.9" customHeight="1">
      <c r="A283" s="2" t="n">
        <v>282</v>
      </c>
      <c r="B283" s="2" t="inlineStr">
        <is>
          <t>Bolso media luna - Marrón retro</t>
        </is>
      </c>
      <c r="C283" s="3" t="n">
        <v>125</v>
      </c>
      <c r="D283" s="2" t="inlineStr">
        <is>
          <t>282.jpg</t>
        </is>
      </c>
      <c r="E283" s="2" t="inlineStr">
        <is>
          <t>Bolso media luna cómodo para uso diario. Color Marrón retro.</t>
        </is>
      </c>
      <c r="F283" s="2" t="inlineStr">
        <is>
          <t>Bolsos</t>
        </is>
      </c>
      <c r="G283" s="2" t="n">
        <v>2</v>
      </c>
      <c r="H283" s="2">
        <f>Configuracion!$B$2</f>
        <v/>
      </c>
      <c r="I283" s="4">
        <f>Configuracion!$B$3</f>
        <v/>
      </c>
      <c r="J283" s="2">
        <f>IF(UPPER(Configuracion!$B$2)="ON",Configuracion!$B$4,"")</f>
        <v/>
      </c>
      <c r="K283" s="3">
        <f>IF(UPPER(Configuracion!$B$2)="ON",ROUND(C283*(1-Configuracion!$B$3),0),ROUND(C283,0))</f>
        <v/>
      </c>
    </row>
    <row r="284">
      <c r="A284" s="2" t="n">
        <v>283</v>
      </c>
      <c r="B284" s="2" t="inlineStr">
        <is>
          <t>Bolso media luna - Castaño</t>
        </is>
      </c>
      <c r="C284" s="3" t="n">
        <v>125</v>
      </c>
      <c r="D284" s="2" t="inlineStr">
        <is>
          <t>283.jpg</t>
        </is>
      </c>
      <c r="E284" s="2" t="inlineStr">
        <is>
          <t>Bolso media luna cómodo para uso diario. Color Castaño.</t>
        </is>
      </c>
      <c r="F284" s="2" t="inlineStr">
        <is>
          <t>Bolsos</t>
        </is>
      </c>
      <c r="G284" s="2" t="n">
        <v>2</v>
      </c>
      <c r="H284" s="2">
        <f>Configuracion!$B$2</f>
        <v/>
      </c>
      <c r="I284" s="4">
        <f>Configuracion!$B$3</f>
        <v/>
      </c>
      <c r="J284" s="2">
        <f>IF(UPPER(Configuracion!$B$2)="ON",Configuracion!$B$4,"")</f>
        <v/>
      </c>
      <c r="K284" s="3">
        <f>IF(UPPER(Configuracion!$B$2)="ON",ROUND(C284*(1-Configuracion!$B$3),0),ROUND(C284,0))</f>
        <v/>
      </c>
    </row>
    <row r="285">
      <c r="A285" s="2" t="n">
        <v>284</v>
      </c>
      <c r="B285" s="2" t="inlineStr">
        <is>
          <t>Bolso Maillard - Rosa</t>
        </is>
      </c>
      <c r="C285" s="3" t="n">
        <v>110</v>
      </c>
      <c r="D285" s="2" t="inlineStr">
        <is>
          <t>284.jpg</t>
        </is>
      </c>
      <c r="E285" s="2" t="inlineStr">
        <is>
          <t>Bolso de tonos neutros con estética Maillard. Color Rosa.</t>
        </is>
      </c>
      <c r="F285" s="2" t="inlineStr">
        <is>
          <t>Bolsos</t>
        </is>
      </c>
      <c r="G285" s="2" t="n">
        <v>4</v>
      </c>
      <c r="H285" s="2">
        <f>Configuracion!$B$2</f>
        <v/>
      </c>
      <c r="I285" s="4">
        <f>Configuracion!$B$3</f>
        <v/>
      </c>
      <c r="J285" s="2">
        <f>IF(UPPER(Configuracion!$B$2)="ON",Configuracion!$B$4,"")</f>
        <v/>
      </c>
      <c r="K285" s="3">
        <f>IF(UPPER(Configuracion!$B$2)="ON",ROUND(C285*(1-Configuracion!$B$3),0),ROUND(C285,0))</f>
        <v/>
      </c>
    </row>
    <row r="286" ht="12.9" customHeight="1">
      <c r="A286" s="2" t="n">
        <v>285</v>
      </c>
      <c r="B286" s="2" t="inlineStr">
        <is>
          <t>Bolso Maillard - Blanco roto</t>
        </is>
      </c>
      <c r="C286" s="3" t="n">
        <v>110</v>
      </c>
      <c r="D286" s="2" t="inlineStr">
        <is>
          <t>285.jpg</t>
        </is>
      </c>
      <c r="E286" s="2" t="inlineStr">
        <is>
          <t>Bolso de tonos neutros con estética Maillard. Color Blanco roto.</t>
        </is>
      </c>
      <c r="F286" s="2" t="inlineStr">
        <is>
          <t>Bolsos</t>
        </is>
      </c>
      <c r="G286" s="2" t="n">
        <v>4</v>
      </c>
      <c r="H286" s="2">
        <f>Configuracion!$B$2</f>
        <v/>
      </c>
      <c r="I286" s="4">
        <f>Configuracion!$B$3</f>
        <v/>
      </c>
      <c r="J286" s="2">
        <f>IF(UPPER(Configuracion!$B$2)="ON",Configuracion!$B$4,"")</f>
        <v/>
      </c>
      <c r="K286" s="3">
        <f>IF(UPPER(Configuracion!$B$2)="ON",ROUND(C286*(1-Configuracion!$B$3),0),ROUND(C286,0))</f>
        <v/>
      </c>
    </row>
    <row r="287">
      <c r="A287" s="2" t="n">
        <v>286</v>
      </c>
      <c r="B287" s="2" t="inlineStr">
        <is>
          <t>Bolso Maillard - Negro</t>
        </is>
      </c>
      <c r="C287" s="3" t="n">
        <v>105</v>
      </c>
      <c r="D287" s="2" t="inlineStr">
        <is>
          <t>286.jpg</t>
        </is>
      </c>
      <c r="E287" s="2" t="inlineStr">
        <is>
          <t>Bolso de tonos neutros con estética Maillard. Color Negro.</t>
        </is>
      </c>
      <c r="F287" s="2" t="inlineStr">
        <is>
          <t>Bolsos</t>
        </is>
      </c>
      <c r="G287" s="2" t="n">
        <v>4</v>
      </c>
      <c r="H287" s="2">
        <f>Configuracion!$B$2</f>
        <v/>
      </c>
      <c r="I287" s="4">
        <f>Configuracion!$B$3</f>
        <v/>
      </c>
      <c r="J287" s="2">
        <f>IF(UPPER(Configuracion!$B$2)="ON",Configuracion!$B$4,"")</f>
        <v/>
      </c>
      <c r="K287" s="3">
        <f>IF(UPPER(Configuracion!$B$2)="ON",ROUND(C287*(1-Configuracion!$B$3),0),ROUND(C287,0))</f>
        <v/>
      </c>
    </row>
    <row r="288">
      <c r="A288" s="2" t="n">
        <v>287</v>
      </c>
      <c r="B288" s="2" t="inlineStr">
        <is>
          <t>Bolso mensajero creativo - Rosa</t>
        </is>
      </c>
      <c r="C288" s="3" t="n">
        <v>180</v>
      </c>
      <c r="D288" s="2" t="inlineStr">
        <is>
          <t>287.jpg</t>
        </is>
      </c>
      <c r="E288" s="2" t="inlineStr">
        <is>
          <t>Bolso mensajero con diseño creativo y juvenil. Color Rosa.</t>
        </is>
      </c>
      <c r="F288" s="2" t="inlineStr">
        <is>
          <t>Bolsos</t>
        </is>
      </c>
      <c r="G288" s="2" t="n">
        <v>1</v>
      </c>
      <c r="H288" s="2">
        <f>Configuracion!$B$2</f>
        <v/>
      </c>
      <c r="I288" s="4">
        <f>Configuracion!$B$3</f>
        <v/>
      </c>
      <c r="J288" s="2">
        <f>IF(UPPER(Configuracion!$B$2)="ON",Configuracion!$B$4,"")</f>
        <v/>
      </c>
      <c r="K288" s="3">
        <f>IF(UPPER(Configuracion!$B$2)="ON",ROUND(C288*(1-Configuracion!$B$3),0),ROUND(C288,0))</f>
        <v/>
      </c>
    </row>
    <row r="289">
      <c r="A289" s="2" t="n">
        <v>288</v>
      </c>
      <c r="B289" s="2" t="inlineStr">
        <is>
          <t>Bolso mensajero creativo - Blanco</t>
        </is>
      </c>
      <c r="C289" s="3" t="n">
        <v>180</v>
      </c>
      <c r="D289" s="2" t="inlineStr">
        <is>
          <t>288.jpg</t>
        </is>
      </c>
      <c r="E289" s="2" t="inlineStr">
        <is>
          <t>Bolso mensajero con diseño creativo y juvenil. Color Blanco.</t>
        </is>
      </c>
      <c r="F289" s="2" t="inlineStr">
        <is>
          <t>Bolsos</t>
        </is>
      </c>
      <c r="G289" s="2" t="n">
        <v>2</v>
      </c>
      <c r="H289" s="2">
        <f>Configuracion!$B$2</f>
        <v/>
      </c>
      <c r="I289" s="4">
        <f>Configuracion!$B$3</f>
        <v/>
      </c>
      <c r="J289" s="2">
        <f>IF(UPPER(Configuracion!$B$2)="ON",Configuracion!$B$4,"")</f>
        <v/>
      </c>
      <c r="K289" s="3">
        <f>IF(UPPER(Configuracion!$B$2)="ON",ROUND(C289*(1-Configuracion!$B$3),0),ROUND(C289,0))</f>
        <v/>
      </c>
    </row>
    <row r="290" ht="12.9" customHeight="1">
      <c r="A290" s="2" t="n">
        <v>289</v>
      </c>
      <c r="B290" s="2" t="inlineStr">
        <is>
          <t>Bolso mensajero creativo - Rosa intenso</t>
        </is>
      </c>
      <c r="C290" s="3" t="n">
        <v>180</v>
      </c>
      <c r="D290" s="2" t="inlineStr">
        <is>
          <t>289.jpg</t>
        </is>
      </c>
      <c r="E290" s="2" t="inlineStr">
        <is>
          <t>Bolso mensajero con diseño creativo y juvenil. Color Rosa intenso.</t>
        </is>
      </c>
      <c r="F290" s="2" t="inlineStr">
        <is>
          <t>Bolsos</t>
        </is>
      </c>
      <c r="G290" s="2" t="n">
        <v>1</v>
      </c>
      <c r="H290" s="2">
        <f>Configuracion!$B$2</f>
        <v/>
      </c>
      <c r="I290" s="4">
        <f>Configuracion!$B$3</f>
        <v/>
      </c>
      <c r="J290" s="2">
        <f>IF(UPPER(Configuracion!$B$2)="ON",Configuracion!$B$4,"")</f>
        <v/>
      </c>
      <c r="K290" s="3">
        <f>IF(UPPER(Configuracion!$B$2)="ON",ROUND(C290*(1-Configuracion!$B$3),0),ROUND(C290,0))</f>
        <v/>
      </c>
    </row>
    <row r="291">
      <c r="A291" s="2" t="n">
        <v>290</v>
      </c>
      <c r="B291" s="2" t="inlineStr">
        <is>
          <t>Bolso mensajero creativo - Negro</t>
        </is>
      </c>
      <c r="C291" s="3" t="n">
        <v>180</v>
      </c>
      <c r="D291" s="2" t="inlineStr">
        <is>
          <t>290.jpg</t>
        </is>
      </c>
      <c r="E291" s="2" t="inlineStr">
        <is>
          <t>Bolso mensajero con diseño creativo y juvenil. Color Negro.</t>
        </is>
      </c>
      <c r="F291" s="2" t="inlineStr">
        <is>
          <t>Bolsos</t>
        </is>
      </c>
      <c r="G291" s="2" t="n">
        <v>2</v>
      </c>
      <c r="H291" s="2">
        <f>Configuracion!$B$2</f>
        <v/>
      </c>
      <c r="I291" s="4">
        <f>Configuracion!$B$3</f>
        <v/>
      </c>
      <c r="J291" s="2">
        <f>IF(UPPER(Configuracion!$B$2)="ON",Configuracion!$B$4,"")</f>
        <v/>
      </c>
      <c r="K291" s="3">
        <f>IF(UPPER(Configuracion!$B$2)="ON",ROUND(C291*(1-Configuracion!$B$3),0),ROUND(C291,0))</f>
        <v/>
      </c>
    </row>
    <row r="292">
      <c r="A292" s="2" t="n">
        <v>291</v>
      </c>
      <c r="B292" s="2" t="inlineStr">
        <is>
          <t>Bolso estampado artístico - Rosa</t>
        </is>
      </c>
      <c r="C292" s="3" t="n">
        <v>155</v>
      </c>
      <c r="D292" s="2" t="inlineStr">
        <is>
          <t>291.jpg</t>
        </is>
      </c>
      <c r="E292" s="2" t="inlineStr">
        <is>
          <t>Bolso de hombro con estampado artístico. Color Rosa.</t>
        </is>
      </c>
      <c r="F292" s="2" t="inlineStr">
        <is>
          <t>Bolsos</t>
        </is>
      </c>
      <c r="G292" s="2" t="n">
        <v>1</v>
      </c>
      <c r="H292" s="2">
        <f>Configuracion!$B$2</f>
        <v/>
      </c>
      <c r="I292" s="4">
        <f>Configuracion!$B$3</f>
        <v/>
      </c>
      <c r="J292" s="2">
        <f>IF(UPPER(Configuracion!$B$2)="ON",Configuracion!$B$4,"")</f>
        <v/>
      </c>
      <c r="K292" s="3">
        <f>IF(UPPER(Configuracion!$B$2)="ON",ROUND(C292*(1-Configuracion!$B$3),0),ROUND(C292,0))</f>
        <v/>
      </c>
    </row>
    <row r="293">
      <c r="A293" s="2" t="n">
        <v>292</v>
      </c>
      <c r="B293" s="2" t="inlineStr">
        <is>
          <t>Bolso estampado artístico - Negro</t>
        </is>
      </c>
      <c r="C293" s="3" t="n">
        <v>155</v>
      </c>
      <c r="D293" s="2" t="inlineStr">
        <is>
          <t>292.jpg</t>
        </is>
      </c>
      <c r="E293" s="2" t="inlineStr">
        <is>
          <t>Bolso de hombro con estampado artístico. Color Negro.</t>
        </is>
      </c>
      <c r="F293" s="2" t="inlineStr">
        <is>
          <t>Bolsos</t>
        </is>
      </c>
      <c r="G293" s="2" t="n">
        <v>1</v>
      </c>
      <c r="H293" s="2">
        <f>Configuracion!$B$2</f>
        <v/>
      </c>
      <c r="I293" s="4">
        <f>Configuracion!$B$3</f>
        <v/>
      </c>
      <c r="J293" s="2">
        <f>IF(UPPER(Configuracion!$B$2)="ON",Configuracion!$B$4,"")</f>
        <v/>
      </c>
      <c r="K293" s="3">
        <f>IF(UPPER(Configuracion!$B$2)="ON",ROUND(C293*(1-Configuracion!$B$3),0),ROUND(C293,0))</f>
        <v/>
      </c>
    </row>
    <row r="294">
      <c r="A294" s="2" t="n">
        <v>293</v>
      </c>
      <c r="B294" s="2" t="inlineStr">
        <is>
          <t>Bolso corazón con cadena - Rojo</t>
        </is>
      </c>
      <c r="C294" s="3" t="n">
        <v>110</v>
      </c>
      <c r="D294" s="2" t="inlineStr">
        <is>
          <t>293.jpg</t>
        </is>
      </c>
      <c r="E294" s="2" t="inlineStr">
        <is>
          <t>Bolso pequeño con detalle de corazón y cadena. Color Rojo.</t>
        </is>
      </c>
      <c r="F294" s="2" t="inlineStr">
        <is>
          <t>Bolsos</t>
        </is>
      </c>
      <c r="G294" s="2" t="n">
        <v>2</v>
      </c>
      <c r="H294" s="2">
        <f>Configuracion!$B$2</f>
        <v/>
      </c>
      <c r="I294" s="4">
        <f>Configuracion!$B$3</f>
        <v/>
      </c>
      <c r="J294" s="2">
        <f>IF(UPPER(Configuracion!$B$2)="ON",Configuracion!$B$4,"")</f>
        <v/>
      </c>
      <c r="K294" s="3">
        <f>IF(UPPER(Configuracion!$B$2)="ON",ROUND(C294*(1-Configuracion!$B$3),0),ROUND(C294,0))</f>
        <v/>
      </c>
    </row>
    <row r="295" ht="12.9" customHeight="1">
      <c r="A295" s="2" t="n">
        <v>294</v>
      </c>
      <c r="B295" s="2" t="inlineStr">
        <is>
          <t>Bolso corazón con cadena - Negro</t>
        </is>
      </c>
      <c r="C295" s="3" t="n">
        <v>110</v>
      </c>
      <c r="D295" s="2" t="inlineStr">
        <is>
          <t>294.jpg</t>
        </is>
      </c>
      <c r="E295" s="2" t="inlineStr">
        <is>
          <t>Bolso pequeño con detalle de corazón y cadena. Color Negro.</t>
        </is>
      </c>
      <c r="F295" s="2" t="inlineStr">
        <is>
          <t>Bolsos</t>
        </is>
      </c>
      <c r="G295" s="2" t="n">
        <v>2</v>
      </c>
      <c r="H295" s="2">
        <f>Configuracion!$B$2</f>
        <v/>
      </c>
      <c r="I295" s="4">
        <f>Configuracion!$B$3</f>
        <v/>
      </c>
      <c r="J295" s="2">
        <f>IF(UPPER(Configuracion!$B$2)="ON",Configuracion!$B$4,"")</f>
        <v/>
      </c>
      <c r="K295" s="3">
        <f>IF(UPPER(Configuracion!$B$2)="ON",ROUND(C295*(1-Configuracion!$B$3),0),ROUND(C295,0))</f>
        <v/>
      </c>
    </row>
    <row r="296">
      <c r="A296" s="2" t="n">
        <v>295</v>
      </c>
      <c r="B296" s="2" t="inlineStr">
        <is>
          <t>Bolso denim con borlas - Azul</t>
        </is>
      </c>
      <c r="C296" s="3" t="n">
        <v>105</v>
      </c>
      <c r="D296" s="2" t="inlineStr">
        <is>
          <t>295.jpg</t>
        </is>
      </c>
      <c r="E296" s="2" t="inlineStr">
        <is>
          <t>Bolso denim con borlas y aire casual. Color Azul.</t>
        </is>
      </c>
      <c r="F296" s="2" t="inlineStr">
        <is>
          <t>Bolsos</t>
        </is>
      </c>
      <c r="G296" s="2" t="n">
        <v>1</v>
      </c>
      <c r="H296" s="2">
        <f>Configuracion!$B$2</f>
        <v/>
      </c>
      <c r="I296" s="4">
        <f>Configuracion!$B$3</f>
        <v/>
      </c>
      <c r="J296" s="2">
        <f>IF(UPPER(Configuracion!$B$2)="ON",Configuracion!$B$4,"")</f>
        <v/>
      </c>
      <c r="K296" s="3">
        <f>IF(UPPER(Configuracion!$B$2)="ON",ROUND(C296*(1-Configuracion!$B$3),0),ROUND(C296,0))</f>
        <v/>
      </c>
    </row>
    <row r="297">
      <c r="A297" s="2" t="n">
        <v>296</v>
      </c>
      <c r="B297" s="2" t="inlineStr">
        <is>
          <t>Bolso denim con borlas - Negro</t>
        </is>
      </c>
      <c r="C297" s="3" t="n">
        <v>105</v>
      </c>
      <c r="D297" s="2" t="inlineStr">
        <is>
          <t>296.jpg</t>
        </is>
      </c>
      <c r="E297" s="2" t="inlineStr">
        <is>
          <t>Bolso denim con borlas y aire casual. Color Negro.</t>
        </is>
      </c>
      <c r="F297" s="2" t="inlineStr">
        <is>
          <t>Bolsos</t>
        </is>
      </c>
      <c r="G297" s="2" t="n">
        <v>1</v>
      </c>
      <c r="H297" s="2">
        <f>Configuracion!$B$2</f>
        <v/>
      </c>
      <c r="I297" s="4">
        <f>Configuracion!$B$3</f>
        <v/>
      </c>
      <c r="J297" s="2">
        <f>IF(UPPER(Configuracion!$B$2)="ON",Configuracion!$B$4,"")</f>
        <v/>
      </c>
      <c r="K297" s="3">
        <f>IF(UPPER(Configuracion!$B$2)="ON",ROUND(C297*(1-Configuracion!$B$3),0),ROUND(C297,0))</f>
        <v/>
      </c>
    </row>
    <row r="298">
      <c r="A298" s="2" t="n">
        <v>297</v>
      </c>
      <c r="B298" s="2" t="inlineStr">
        <is>
          <t>Bolso denim con borlas - Azul oscuro</t>
        </is>
      </c>
      <c r="C298" s="3" t="n">
        <v>105</v>
      </c>
      <c r="D298" s="2" t="inlineStr">
        <is>
          <t>297.jpg</t>
        </is>
      </c>
      <c r="E298" s="2" t="inlineStr">
        <is>
          <t>Bolso denim con borlas y aire casual. Color Azul oscuro.</t>
        </is>
      </c>
      <c r="F298" s="2" t="inlineStr">
        <is>
          <t>Bolsos</t>
        </is>
      </c>
      <c r="G298" s="2" t="n">
        <v>1</v>
      </c>
      <c r="H298" s="2">
        <f>Configuracion!$B$2</f>
        <v/>
      </c>
      <c r="I298" s="4">
        <f>Configuracion!$B$3</f>
        <v/>
      </c>
      <c r="J298" s="2">
        <f>IF(UPPER(Configuracion!$B$2)="ON",Configuracion!$B$4,"")</f>
        <v/>
      </c>
      <c r="K298" s="3">
        <f>IF(UPPER(Configuracion!$B$2)="ON",ROUND(C298*(1-Configuracion!$B$3),0),ROUND(C298,0))</f>
        <v/>
      </c>
    </row>
    <row r="299">
      <c r="A299" s="2" t="n">
        <v>298</v>
      </c>
      <c r="B299" s="2" t="inlineStr">
        <is>
          <t>Bolso biker con lazo - Azul</t>
        </is>
      </c>
      <c r="C299" s="3" t="n">
        <v>90</v>
      </c>
      <c r="D299" s="2" t="inlineStr">
        <is>
          <t>298.jpg</t>
        </is>
      </c>
      <c r="E299" s="2" t="inlineStr">
        <is>
          <t>Bolso de hombro con lazo metálico y estilo biker. Color Azul.</t>
        </is>
      </c>
      <c r="F299" s="2" t="inlineStr">
        <is>
          <t>Bolsos</t>
        </is>
      </c>
      <c r="G299" s="2" t="n">
        <v>1</v>
      </c>
      <c r="H299" s="2">
        <f>Configuracion!$B$2</f>
        <v/>
      </c>
      <c r="I299" s="4">
        <f>Configuracion!$B$3</f>
        <v/>
      </c>
      <c r="J299" s="2">
        <f>IF(UPPER(Configuracion!$B$2)="ON",Configuracion!$B$4,"")</f>
        <v/>
      </c>
      <c r="K299" s="3">
        <f>IF(UPPER(Configuracion!$B$2)="ON",ROUND(C299*(1-Configuracion!$B$3),0),ROUND(C299,0))</f>
        <v/>
      </c>
    </row>
    <row r="300" ht="12.9" customHeight="1">
      <c r="A300" s="2" t="n">
        <v>299</v>
      </c>
      <c r="B300" s="2" t="inlineStr">
        <is>
          <t>Bolso con lazo - Negro</t>
        </is>
      </c>
      <c r="C300" s="3" t="n">
        <v>90</v>
      </c>
      <c r="D300" s="2" t="inlineStr">
        <is>
          <t>299.jpg</t>
        </is>
      </c>
      <c r="E300" s="2" t="inlineStr">
        <is>
          <t>Bolso de hombro con lazo metálico y estilo biker. Color Negro.</t>
        </is>
      </c>
      <c r="F300" s="2" t="inlineStr">
        <is>
          <t>Bolsos</t>
        </is>
      </c>
      <c r="G300" s="2" t="n">
        <v>2</v>
      </c>
      <c r="H300" s="2">
        <f>Configuracion!$B$2</f>
        <v/>
      </c>
      <c r="I300" s="4">
        <f>Configuracion!$B$3</f>
        <v/>
      </c>
      <c r="J300" s="2">
        <f>IF(UPPER(Configuracion!$B$2)="ON",Configuracion!$B$4,"")</f>
        <v/>
      </c>
      <c r="K300" s="3">
        <f>IF(UPPER(Configuracion!$B$2)="ON",ROUND(C300*(1-Configuracion!$B$3),0),ROUND(C300,0))</f>
        <v/>
      </c>
    </row>
    <row r="301" ht="12.9" customHeight="1">
      <c r="A301" s="2" t="n">
        <v>300</v>
      </c>
      <c r="B301" s="2" t="inlineStr">
        <is>
          <t>Bolso con lazo - Plata</t>
        </is>
      </c>
      <c r="C301" s="3" t="n">
        <v>90</v>
      </c>
      <c r="D301" s="2" t="inlineStr">
        <is>
          <t>300.jpg</t>
        </is>
      </c>
      <c r="E301" s="2" t="inlineStr">
        <is>
          <t>Bolso de hombro con lazo metálico y estilo biker. Color Plata.</t>
        </is>
      </c>
      <c r="F301" s="2" t="inlineStr">
        <is>
          <t>Bolsos</t>
        </is>
      </c>
      <c r="G301" s="2" t="n">
        <v>1</v>
      </c>
      <c r="H301" s="2">
        <f>Configuracion!$B$2</f>
        <v/>
      </c>
      <c r="I301" s="4">
        <f>Configuracion!$B$3</f>
        <v/>
      </c>
      <c r="J301" s="2">
        <f>IF(UPPER(Configuracion!$B$2)="ON",Configuracion!$B$4,"")</f>
        <v/>
      </c>
      <c r="K301" s="3">
        <f>IF(UPPER(Configuracion!$B$2)="ON",ROUND(C301*(1-Configuracion!$B$3),0),ROUND(C301,0))</f>
        <v/>
      </c>
    </row>
    <row r="302" ht="12.9" customHeight="1">
      <c r="A302" s="2" t="n">
        <v>301</v>
      </c>
      <c r="B302" s="2" t="inlineStr">
        <is>
          <t>Bolso cruzado impermeable azul lago</t>
        </is>
      </c>
      <c r="C302" s="3" t="n">
        <v>100</v>
      </c>
      <c r="D302" s="2" t="inlineStr">
        <is>
          <t>301.jpg</t>
        </is>
      </c>
      <c r="E302" s="2" t="inlineStr">
        <is>
          <t>Bolso cruzado impermeable estilo deportivo en color azul lago.</t>
        </is>
      </c>
      <c r="F302" s="2" t="inlineStr">
        <is>
          <t>Bolsos</t>
        </is>
      </c>
      <c r="G302" s="2" t="n">
        <v>7</v>
      </c>
      <c r="H302" s="2">
        <f>Configuracion!$B$2</f>
        <v/>
      </c>
      <c r="I302" s="4">
        <f>Configuracion!$B$3</f>
        <v/>
      </c>
      <c r="J302" s="2">
        <f>IF(UPPER(Configuracion!$B$2)="ON",Configuracion!$B$4,"")</f>
        <v/>
      </c>
      <c r="K302" s="3">
        <f>IF(UPPER(Configuracion!$B$2)="ON",ROUND(C302*(1-Configuracion!$B$3),0),ROUND(C302,0))</f>
        <v/>
      </c>
    </row>
    <row r="303" ht="12.9" customHeight="1">
      <c r="A303" s="2" t="n">
        <v>302</v>
      </c>
      <c r="B303" s="2" t="inlineStr">
        <is>
          <t>Bolso cruzado impermeable naranja</t>
        </is>
      </c>
      <c r="C303" s="3" t="n">
        <v>100</v>
      </c>
      <c r="D303" s="2" t="inlineStr">
        <is>
          <t>302.jpg</t>
        </is>
      </c>
      <c r="E303" s="2" t="inlineStr">
        <is>
          <t>Bolso cruzado impermeable estilo deportivo en color naranja.</t>
        </is>
      </c>
      <c r="F303" s="2" t="inlineStr">
        <is>
          <t>Bolsos</t>
        </is>
      </c>
      <c r="G303" s="2" t="n">
        <v>6</v>
      </c>
      <c r="H303" s="2">
        <f>Configuracion!$B$2</f>
        <v/>
      </c>
      <c r="I303" s="4">
        <f>Configuracion!$B$3</f>
        <v/>
      </c>
      <c r="J303" s="2">
        <f>IF(UPPER(Configuracion!$B$2)="ON",Configuracion!$B$4,"")</f>
        <v/>
      </c>
      <c r="K303" s="3">
        <f>IF(UPPER(Configuracion!$B$2)="ON",ROUND(C303*(1-Configuracion!$B$3),0),ROUND(C303,0))</f>
        <v/>
      </c>
    </row>
    <row r="304" ht="12.9" customHeight="1">
      <c r="A304" s="2" t="n">
        <v>303</v>
      </c>
      <c r="B304" s="2" t="inlineStr">
        <is>
          <t>Bolso cruzado impermeable verde militar</t>
        </is>
      </c>
      <c r="C304" s="3" t="n">
        <v>100</v>
      </c>
      <c r="D304" s="2" t="inlineStr">
        <is>
          <t>303.jpg</t>
        </is>
      </c>
      <c r="E304" s="2" t="inlineStr">
        <is>
          <t>Bolso cruzado impermeable estilo deportivo en color verde militar.</t>
        </is>
      </c>
      <c r="F304" s="2" t="inlineStr">
        <is>
          <t>Bolsos</t>
        </is>
      </c>
      <c r="G304" s="2" t="n">
        <v>7</v>
      </c>
      <c r="H304" s="2">
        <f>Configuracion!$B$2</f>
        <v/>
      </c>
      <c r="I304" s="4">
        <f>Configuracion!$B$3</f>
        <v/>
      </c>
      <c r="J304" s="2">
        <f>IF(UPPER(Configuracion!$B$2)="ON",Configuracion!$B$4,"")</f>
        <v/>
      </c>
      <c r="K304" s="3">
        <f>IF(UPPER(Configuracion!$B$2)="ON",ROUND(C304*(1-Configuracion!$B$3),0),ROUND(C304,0))</f>
        <v/>
      </c>
    </row>
    <row r="305" ht="12.9" customHeight="1">
      <c r="A305" s="2" t="n">
        <v>304</v>
      </c>
      <c r="B305" s="2" t="inlineStr">
        <is>
          <t>Bolso cruzado impermeable azul marino</t>
        </is>
      </c>
      <c r="C305" s="3" t="n">
        <v>100</v>
      </c>
      <c r="D305" s="2" t="inlineStr">
        <is>
          <t>304.jpg</t>
        </is>
      </c>
      <c r="E305" s="2" t="inlineStr">
        <is>
          <t>Bolso cruzado impermeable estilo deportivo en color azul marino.</t>
        </is>
      </c>
      <c r="F305" s="2" t="inlineStr">
        <is>
          <t>Bolsos</t>
        </is>
      </c>
      <c r="G305" s="2" t="n">
        <v>7</v>
      </c>
      <c r="H305" s="2">
        <f>Configuracion!$B$2</f>
        <v/>
      </c>
      <c r="I305" s="4">
        <f>Configuracion!$B$3</f>
        <v/>
      </c>
      <c r="J305" s="2">
        <f>IF(UPPER(Configuracion!$B$2)="ON",Configuracion!$B$4,"")</f>
        <v/>
      </c>
      <c r="K305" s="3">
        <f>IF(UPPER(Configuracion!$B$2)="ON",ROUND(C305*(1-Configuracion!$B$3),0),ROUND(C305,0))</f>
        <v/>
      </c>
    </row>
    <row r="306">
      <c r="A306" s="2" t="n">
        <v>305</v>
      </c>
      <c r="B306" s="2" t="inlineStr">
        <is>
          <t>Bolso cruzado impermeable gris</t>
        </is>
      </c>
      <c r="C306" s="3" t="n">
        <v>100</v>
      </c>
      <c r="D306" s="2" t="inlineStr">
        <is>
          <t>305.jpg</t>
        </is>
      </c>
      <c r="E306" s="2" t="inlineStr">
        <is>
          <t>Bolso cruzado impermeable estilo deportivo en color gris.</t>
        </is>
      </c>
      <c r="F306" s="2" t="inlineStr">
        <is>
          <t>Bolsos</t>
        </is>
      </c>
      <c r="G306" s="2" t="n">
        <v>5</v>
      </c>
      <c r="H306" s="2">
        <f>Configuracion!$B$2</f>
        <v/>
      </c>
      <c r="I306" s="4">
        <f>Configuracion!$B$3</f>
        <v/>
      </c>
      <c r="J306" s="2">
        <f>IF(UPPER(Configuracion!$B$2)="ON",Configuracion!$B$4,"")</f>
        <v/>
      </c>
      <c r="K306" s="3">
        <f>IF(UPPER(Configuracion!$B$2)="ON",ROUND(C306*(1-Configuracion!$B$3),0),ROUND(C306,0))</f>
        <v/>
      </c>
    </row>
    <row r="307" ht="12.9" customHeight="1">
      <c r="A307" s="2" t="n">
        <v>306</v>
      </c>
      <c r="B307" s="2" t="inlineStr">
        <is>
          <t>Bolso cruzado impermeable azul real</t>
        </is>
      </c>
      <c r="C307" s="3" t="n">
        <v>100</v>
      </c>
      <c r="D307" s="2" t="inlineStr">
        <is>
          <t>306.jpg</t>
        </is>
      </c>
      <c r="E307" s="2" t="inlineStr">
        <is>
          <t>Bolso cruzado impermeable estilo deportivo en color azul real.</t>
        </is>
      </c>
      <c r="F307" s="2" t="inlineStr">
        <is>
          <t>Bolsos</t>
        </is>
      </c>
      <c r="G307" s="2" t="n">
        <v>8</v>
      </c>
      <c r="H307" s="2">
        <f>Configuracion!$B$2</f>
        <v/>
      </c>
      <c r="I307" s="4">
        <f>Configuracion!$B$3</f>
        <v/>
      </c>
      <c r="J307" s="2">
        <f>IF(UPPER(Configuracion!$B$2)="ON",Configuracion!$B$4,"")</f>
        <v/>
      </c>
      <c r="K307" s="3">
        <f>IF(UPPER(Configuracion!$B$2)="ON",ROUND(C307*(1-Configuracion!$B$3),0),ROUND(C307,0))</f>
        <v/>
      </c>
    </row>
    <row r="308">
      <c r="A308" s="2" t="n">
        <v>307</v>
      </c>
      <c r="B308" s="2" t="inlineStr">
        <is>
          <t>Bolso cruzado impermeable negro</t>
        </is>
      </c>
      <c r="C308" s="3" t="n">
        <v>100</v>
      </c>
      <c r="D308" s="2" t="inlineStr">
        <is>
          <t>307.jpg</t>
        </is>
      </c>
      <c r="E308" s="2" t="inlineStr">
        <is>
          <t>Bolso cruzado impermeable estilo deportivo en color negro.</t>
        </is>
      </c>
      <c r="F308" s="2" t="inlineStr">
        <is>
          <t>Bolsos</t>
        </is>
      </c>
      <c r="G308" s="2" t="n">
        <v>10</v>
      </c>
      <c r="H308" s="2">
        <f>Configuracion!$B$2</f>
        <v/>
      </c>
      <c r="I308" s="4">
        <f>Configuracion!$B$3</f>
        <v/>
      </c>
      <c r="J308" s="2">
        <f>IF(UPPER(Configuracion!$B$2)="ON",Configuracion!$B$4,"")</f>
        <v/>
      </c>
      <c r="K308" s="3">
        <f>IF(UPPER(Configuracion!$B$2)="ON",ROUND(C308*(1-Configuracion!$B$3),0),ROUND(C308,0))</f>
        <v/>
      </c>
    </row>
    <row r="309">
      <c r="A309" s="2" t="n">
        <v>308</v>
      </c>
      <c r="B309" s="2" t="inlineStr">
        <is>
          <t>Bolso bandolera vintage negro</t>
        </is>
      </c>
      <c r="C309" s="3" t="n">
        <v>120</v>
      </c>
      <c r="D309" s="2" t="inlineStr">
        <is>
          <t>308.jpg</t>
        </is>
      </c>
      <c r="E309" s="2" t="inlineStr">
        <is>
          <t>Bolso bandolera vintage en color negro.</t>
        </is>
      </c>
      <c r="F309" s="2" t="inlineStr">
        <is>
          <t>Bolsos</t>
        </is>
      </c>
      <c r="G309" s="2" t="n">
        <v>25</v>
      </c>
      <c r="H309" s="2">
        <f>Configuracion!$B$2</f>
        <v/>
      </c>
      <c r="I309" s="4">
        <f>Configuracion!$B$3</f>
        <v/>
      </c>
      <c r="J309" s="2">
        <f>IF(UPPER(Configuracion!$B$2)="ON",Configuracion!$B$4,"")</f>
        <v/>
      </c>
      <c r="K309" s="3">
        <f>IF(UPPER(Configuracion!$B$2)="ON",ROUND(C309*(1-Configuracion!$B$3),0),ROUND(C309,0))</f>
        <v/>
      </c>
    </row>
    <row r="310">
      <c r="A310" s="2" t="n">
        <v>309</v>
      </c>
      <c r="B310" s="2" t="inlineStr">
        <is>
          <t>Bolso bandolera vintage marrón</t>
        </is>
      </c>
      <c r="C310" s="3" t="n">
        <v>120</v>
      </c>
      <c r="D310" s="2" t="inlineStr">
        <is>
          <t>309.jpg</t>
        </is>
      </c>
      <c r="E310" s="2" t="inlineStr">
        <is>
          <t>Bolso bandolera vintage en color marrón.</t>
        </is>
      </c>
      <c r="F310" s="2" t="inlineStr">
        <is>
          <t>Bolsos</t>
        </is>
      </c>
      <c r="G310" s="2" t="n">
        <v>16</v>
      </c>
      <c r="H310" s="2">
        <f>Configuracion!$B$2</f>
        <v/>
      </c>
      <c r="I310" s="4">
        <f>Configuracion!$B$3</f>
        <v/>
      </c>
      <c r="J310" s="2">
        <f>IF(UPPER(Configuracion!$B$2)="ON",Configuracion!$B$4,"")</f>
        <v/>
      </c>
      <c r="K310" s="3">
        <f>IF(UPPER(Configuracion!$B$2)="ON",ROUND(C310*(1-Configuracion!$B$3),0),ROUND(C310,0))</f>
        <v/>
      </c>
    </row>
    <row r="311">
      <c r="A311" s="2" t="n">
        <v>310</v>
      </c>
      <c r="B311" s="2" t="inlineStr">
        <is>
          <t>Bolso bandolera vintage caqui</t>
        </is>
      </c>
      <c r="C311" s="3" t="n">
        <v>120</v>
      </c>
      <c r="D311" s="2" t="inlineStr">
        <is>
          <t>310.jpg</t>
        </is>
      </c>
      <c r="E311" s="2" t="inlineStr">
        <is>
          <t>Bolso bandolera vintage en color caqui.</t>
        </is>
      </c>
      <c r="F311" s="2" t="inlineStr">
        <is>
          <t>Bolsos</t>
        </is>
      </c>
      <c r="G311" s="2" t="n">
        <v>8</v>
      </c>
      <c r="H311" s="2">
        <f>Configuracion!$B$2</f>
        <v/>
      </c>
      <c r="I311" s="4">
        <f>Configuracion!$B$3</f>
        <v/>
      </c>
      <c r="J311" s="2">
        <f>IF(UPPER(Configuracion!$B$2)="ON",Configuracion!$B$4,"")</f>
        <v/>
      </c>
      <c r="K311" s="3">
        <f>IF(UPPER(Configuracion!$B$2)="ON",ROUND(C311*(1-Configuracion!$B$3),0),ROUND(C311,0))</f>
        <v/>
      </c>
    </row>
    <row r="312" ht="12.9" customHeight="1">
      <c r="A312" s="2" t="n">
        <v>311</v>
      </c>
      <c r="B312" s="2" t="inlineStr">
        <is>
          <t>Licuadora portátil 1300 ml azul</t>
        </is>
      </c>
      <c r="C312" s="3" t="n">
        <v>125</v>
      </c>
      <c r="D312" s="2" t="inlineStr">
        <is>
          <t>311.jpg</t>
        </is>
      </c>
      <c r="E312" s="2" t="inlineStr">
        <is>
          <t>Licuadora portátil de 1300 ml con cuchilla de 38 hojas, color azul.</t>
        </is>
      </c>
      <c r="F312" s="2" t="inlineStr">
        <is>
          <t>Otros</t>
        </is>
      </c>
      <c r="G312" s="2" t="n">
        <v>40</v>
      </c>
      <c r="H312" s="2">
        <f>Configuracion!$B$2</f>
        <v/>
      </c>
      <c r="I312" s="4">
        <f>Configuracion!$B$3</f>
        <v/>
      </c>
      <c r="J312" s="2">
        <f>IF(UPPER(Configuracion!$B$2)="ON",Configuracion!$B$4,"")</f>
        <v/>
      </c>
      <c r="K312" s="3">
        <f>IF(UPPER(Configuracion!$B$2)="ON",ROUND(C312*(1-Configuracion!$B$3),0),ROUND(C312,0))</f>
        <v/>
      </c>
    </row>
    <row r="313" ht="12.9" customHeight="1">
      <c r="A313" s="2" t="n">
        <v>312</v>
      </c>
      <c r="B313" s="2" t="inlineStr">
        <is>
          <t>Licuadora portátil 1300 ml blanca</t>
        </is>
      </c>
      <c r="C313" s="3" t="n">
        <v>125</v>
      </c>
      <c r="D313" s="2" t="inlineStr">
        <is>
          <t>312.jpg</t>
        </is>
      </c>
      <c r="E313" s="2" t="inlineStr">
        <is>
          <t>Licuadora portátil de 1300 ml con cuchilla de 38 hojas, color blanco.</t>
        </is>
      </c>
      <c r="F313" s="2" t="inlineStr">
        <is>
          <t>Otros</t>
        </is>
      </c>
      <c r="G313" s="2" t="n">
        <v>40</v>
      </c>
      <c r="H313" s="2">
        <f>Configuracion!$B$2</f>
        <v/>
      </c>
      <c r="I313" s="4">
        <f>Configuracion!$B$3</f>
        <v/>
      </c>
      <c r="J313" s="2">
        <f>IF(UPPER(Configuracion!$B$2)="ON",Configuracion!$B$4,"")</f>
        <v/>
      </c>
      <c r="K313" s="3">
        <f>IF(UPPER(Configuracion!$B$2)="ON",ROUND(C313*(1-Configuracion!$B$3),0),ROUND(C313,0))</f>
        <v/>
      </c>
    </row>
    <row r="314">
      <c r="A314" s="2" t="n">
        <v>313</v>
      </c>
      <c r="B314" s="2" t="inlineStr">
        <is>
          <t>Vaso térmico jardín rosa blanca 500 ml</t>
        </is>
      </c>
      <c r="C314" s="3" t="n">
        <v>75</v>
      </c>
      <c r="D314" s="2" t="inlineStr">
        <is>
          <t>313.jpg</t>
        </is>
      </c>
      <c r="E314" s="2" t="inlineStr">
        <is>
          <t>Vaso térmico de 500 ml con diseño jardín rosa blanca.</t>
        </is>
      </c>
      <c r="F314" s="2" t="inlineStr">
        <is>
          <t>Otros</t>
        </is>
      </c>
      <c r="G314" s="2" t="n">
        <v>10</v>
      </c>
      <c r="H314" s="2">
        <f>Configuracion!$B$2</f>
        <v/>
      </c>
      <c r="I314" s="4">
        <f>Configuracion!$B$3</f>
        <v/>
      </c>
      <c r="J314" s="2">
        <f>IF(UPPER(Configuracion!$B$2)="ON",Configuracion!$B$4,"")</f>
        <v/>
      </c>
      <c r="K314" s="3">
        <f>IF(UPPER(Configuracion!$B$2)="ON",ROUND(C314*(1-Configuracion!$B$3),0),ROUND(C314,0))</f>
        <v/>
      </c>
    </row>
    <row r="315">
      <c r="A315" s="2" t="n">
        <v>314</v>
      </c>
      <c r="B315" s="2" t="inlineStr">
        <is>
          <t>Vaso térmico jardín girasol 500 ml</t>
        </is>
      </c>
      <c r="C315" s="3" t="n">
        <v>75</v>
      </c>
      <c r="D315" s="2" t="inlineStr">
        <is>
          <t>314.jpg</t>
        </is>
      </c>
      <c r="E315" s="2" t="inlineStr">
        <is>
          <t>Vaso térmico de 500 ml con diseño jardín girasol.</t>
        </is>
      </c>
      <c r="F315" s="2" t="inlineStr">
        <is>
          <t>Otros</t>
        </is>
      </c>
      <c r="G315" s="2" t="n">
        <v>10</v>
      </c>
      <c r="H315" s="2">
        <f>Configuracion!$B$2</f>
        <v/>
      </c>
      <c r="I315" s="4">
        <f>Configuracion!$B$3</f>
        <v/>
      </c>
      <c r="J315" s="2">
        <f>IF(UPPER(Configuracion!$B$2)="ON",Configuracion!$B$4,"")</f>
        <v/>
      </c>
      <c r="K315" s="3">
        <f>IF(UPPER(Configuracion!$B$2)="ON",ROUND(C315*(1-Configuracion!$B$3),0),ROUND(C315,0))</f>
        <v/>
      </c>
    </row>
    <row r="316">
      <c r="A316" s="2" t="n">
        <v>315</v>
      </c>
      <c r="B316" s="2" t="inlineStr">
        <is>
          <t>Vaso térmico jardín adelfa 500 ml</t>
        </is>
      </c>
      <c r="C316" s="3" t="n">
        <v>75</v>
      </c>
      <c r="D316" s="2" t="inlineStr">
        <is>
          <t>315.jpg</t>
        </is>
      </c>
      <c r="E316" s="2" t="inlineStr">
        <is>
          <t>Vaso térmico de 500 ml con diseño jardín adelfa.</t>
        </is>
      </c>
      <c r="F316" s="2" t="inlineStr">
        <is>
          <t>Otros</t>
        </is>
      </c>
      <c r="G316" s="2" t="n">
        <v>10</v>
      </c>
      <c r="H316" s="2">
        <f>Configuracion!$B$2</f>
        <v/>
      </c>
      <c r="I316" s="4">
        <f>Configuracion!$B$3</f>
        <v/>
      </c>
      <c r="J316" s="2">
        <f>IF(UPPER(Configuracion!$B$2)="ON",Configuracion!$B$4,"")</f>
        <v/>
      </c>
      <c r="K316" s="3">
        <f>IF(UPPER(Configuracion!$B$2)="ON",ROUND(C316*(1-Configuracion!$B$3),0),ROUND(C316,0))</f>
        <v/>
      </c>
    </row>
    <row r="317">
      <c r="A317" s="2" t="n">
        <v>316</v>
      </c>
      <c r="B317" s="2" t="inlineStr">
        <is>
          <t>Vaso térmico jardín lirio 500 ml</t>
        </is>
      </c>
      <c r="C317" s="3" t="n">
        <v>75</v>
      </c>
      <c r="D317" s="2" t="inlineStr">
        <is>
          <t>316.jpg</t>
        </is>
      </c>
      <c r="E317" s="2" t="inlineStr">
        <is>
          <t>Vaso térmico de 500 ml con diseño jardín lirio.</t>
        </is>
      </c>
      <c r="F317" s="2" t="inlineStr">
        <is>
          <t>Otros</t>
        </is>
      </c>
      <c r="G317" s="2" t="n">
        <v>10</v>
      </c>
      <c r="H317" s="2">
        <f>Configuracion!$B$2</f>
        <v/>
      </c>
      <c r="I317" s="4">
        <f>Configuracion!$B$3</f>
        <v/>
      </c>
      <c r="J317" s="2">
        <f>IF(UPPER(Configuracion!$B$2)="ON",Configuracion!$B$4,"")</f>
        <v/>
      </c>
      <c r="K317" s="3">
        <f>IF(UPPER(Configuracion!$B$2)="ON",ROUND(C317*(1-Configuracion!$B$3),0),ROUND(C317,0))</f>
        <v/>
      </c>
    </row>
    <row r="318">
      <c r="A318" s="2" t="n">
        <v>317</v>
      </c>
      <c r="B318" s="2" t="inlineStr">
        <is>
          <t>Termo labubu 420 ml blanco marfil</t>
        </is>
      </c>
      <c r="C318" s="3" t="n">
        <v>75</v>
      </c>
      <c r="D318" s="2" t="inlineStr">
        <is>
          <t>317.jpg</t>
        </is>
      </c>
      <c r="E318" s="2" t="inlineStr">
        <is>
          <t>Termo de 420 ml en color blanco marfil.</t>
        </is>
      </c>
      <c r="F318" s="2" t="inlineStr">
        <is>
          <t>Otros</t>
        </is>
      </c>
      <c r="G318" s="2" t="n">
        <v>10</v>
      </c>
      <c r="H318" s="2">
        <f>Configuracion!$B$2</f>
        <v/>
      </c>
      <c r="I318" s="4">
        <f>Configuracion!$B$3</f>
        <v/>
      </c>
      <c r="J318" s="2">
        <f>IF(UPPER(Configuracion!$B$2)="ON",Configuracion!$B$4,"")</f>
        <v/>
      </c>
      <c r="K318" s="3">
        <f>IF(UPPER(Configuracion!$B$2)="ON",ROUND(C318*(1-Configuracion!$B$3),0),ROUND(C318,0))</f>
        <v/>
      </c>
    </row>
    <row r="319">
      <c r="A319" s="2" t="n">
        <v>318</v>
      </c>
      <c r="B319" s="2" t="inlineStr">
        <is>
          <t>Termo labubu 420 ml rosa</t>
        </is>
      </c>
      <c r="C319" s="3" t="n">
        <v>75</v>
      </c>
      <c r="D319" s="2" t="inlineStr">
        <is>
          <t>318.jpg</t>
        </is>
      </c>
      <c r="E319" s="2" t="inlineStr">
        <is>
          <t>Termo de 420 ml en color rosa.</t>
        </is>
      </c>
      <c r="F319" s="2" t="inlineStr">
        <is>
          <t>Otros</t>
        </is>
      </c>
      <c r="G319" s="2" t="n">
        <v>10</v>
      </c>
      <c r="H319" s="2">
        <f>Configuracion!$B$2</f>
        <v/>
      </c>
      <c r="I319" s="4">
        <f>Configuracion!$B$3</f>
        <v/>
      </c>
      <c r="J319" s="2">
        <f>IF(UPPER(Configuracion!$B$2)="ON",Configuracion!$B$4,"")</f>
        <v/>
      </c>
      <c r="K319" s="3">
        <f>IF(UPPER(Configuracion!$B$2)="ON",ROUND(C319*(1-Configuracion!$B$3),0),ROUND(C319,0))</f>
        <v/>
      </c>
    </row>
    <row r="320">
      <c r="A320" s="2" t="n">
        <v>319</v>
      </c>
      <c r="B320" s="2" t="inlineStr">
        <is>
          <t>Termo labubu 420 ml durazno</t>
        </is>
      </c>
      <c r="C320" s="3" t="n">
        <v>75</v>
      </c>
      <c r="D320" s="2" t="inlineStr">
        <is>
          <t>319.jpg</t>
        </is>
      </c>
      <c r="E320" s="2" t="inlineStr">
        <is>
          <t>Termo de 420 ml en color durazno.</t>
        </is>
      </c>
      <c r="F320" s="2" t="inlineStr">
        <is>
          <t>Otros</t>
        </is>
      </c>
      <c r="G320" s="2" t="n">
        <v>10</v>
      </c>
      <c r="H320" s="2">
        <f>Configuracion!$B$2</f>
        <v/>
      </c>
      <c r="I320" s="4">
        <f>Configuracion!$B$3</f>
        <v/>
      </c>
      <c r="J320" s="2">
        <f>IF(UPPER(Configuracion!$B$2)="ON",Configuracion!$B$4,"")</f>
        <v/>
      </c>
      <c r="K320" s="3">
        <f>IF(UPPER(Configuracion!$B$2)="ON",ROUND(C320*(1-Configuracion!$B$3),0),ROUND(C320,0))</f>
        <v/>
      </c>
    </row>
    <row r="321">
      <c r="A321" s="2" t="n">
        <v>320</v>
      </c>
      <c r="B321" s="2" t="inlineStr">
        <is>
          <t>Termo labubu 420 ml negro</t>
        </is>
      </c>
      <c r="C321" s="3" t="n">
        <v>75</v>
      </c>
      <c r="D321" s="2" t="inlineStr">
        <is>
          <t>320.jpg</t>
        </is>
      </c>
      <c r="E321" s="2" t="inlineStr">
        <is>
          <t>Termo de 420 ml en color negro.</t>
        </is>
      </c>
      <c r="F321" s="2" t="inlineStr">
        <is>
          <t>Otros</t>
        </is>
      </c>
      <c r="G321" s="2" t="n">
        <v>5</v>
      </c>
      <c r="H321" s="2">
        <f>Configuracion!$B$2</f>
        <v/>
      </c>
      <c r="I321" s="4">
        <f>Configuracion!$B$3</f>
        <v/>
      </c>
      <c r="J321" s="2">
        <f>IF(UPPER(Configuracion!$B$2)="ON",Configuracion!$B$4,"")</f>
        <v/>
      </c>
      <c r="K321" s="3">
        <f>IF(UPPER(Configuracion!$B$2)="ON",ROUND(C321*(1-Configuracion!$B$3),0),ROUND(C321,0))</f>
        <v/>
      </c>
    </row>
    <row r="322">
      <c r="A322" s="2" t="n">
        <v>321</v>
      </c>
      <c r="B322" s="2" t="inlineStr">
        <is>
          <t>Termo labubu 420 ml azul cielo</t>
        </is>
      </c>
      <c r="C322" s="3" t="n">
        <v>75</v>
      </c>
      <c r="D322" s="2" t="inlineStr">
        <is>
          <t>321.jpg</t>
        </is>
      </c>
      <c r="E322" s="2" t="inlineStr">
        <is>
          <t>Termo de 420 ml en color azul cielo.</t>
        </is>
      </c>
      <c r="F322" s="2" t="inlineStr">
        <is>
          <t>Otros</t>
        </is>
      </c>
      <c r="G322" s="2" t="n">
        <v>5</v>
      </c>
      <c r="H322" s="2">
        <f>Configuracion!$B$2</f>
        <v/>
      </c>
      <c r="I322" s="4">
        <f>Configuracion!$B$3</f>
        <v/>
      </c>
      <c r="J322" s="2">
        <f>IF(UPPER(Configuracion!$B$2)="ON",Configuracion!$B$4,"")</f>
        <v/>
      </c>
      <c r="K322" s="3">
        <f>IF(UPPER(Configuracion!$B$2)="ON",ROUND(C322*(1-Configuracion!$B$3),0),ROUND(C322,0))</f>
        <v/>
      </c>
    </row>
    <row r="323">
      <c r="A323" s="2" t="n">
        <v>322</v>
      </c>
      <c r="B323" s="2" t="inlineStr">
        <is>
          <t>Taza termo 14 oz rosa roja</t>
        </is>
      </c>
      <c r="C323" s="3" t="n">
        <v>100</v>
      </c>
      <c r="D323" s="2" t="inlineStr">
        <is>
          <t>322.jpg</t>
        </is>
      </c>
      <c r="E323" s="2" t="inlineStr">
        <is>
          <t>Taza termo de 14 oz con diseño rosa roja.</t>
        </is>
      </c>
      <c r="F323" s="2" t="inlineStr">
        <is>
          <t>Otros</t>
        </is>
      </c>
      <c r="G323" s="2" t="n">
        <v>8</v>
      </c>
      <c r="H323" s="2">
        <f>Configuracion!$B$2</f>
        <v/>
      </c>
      <c r="I323" s="4">
        <f>Configuracion!$B$3</f>
        <v/>
      </c>
      <c r="J323" s="2">
        <f>IF(UPPER(Configuracion!$B$2)="ON",Configuracion!$B$4,"")</f>
        <v/>
      </c>
      <c r="K323" s="3">
        <f>IF(UPPER(Configuracion!$B$2)="ON",ROUND(C323*(1-Configuracion!$B$3),0),ROUND(C323,0))</f>
        <v/>
      </c>
    </row>
    <row r="324">
      <c r="A324" s="2" t="n">
        <v>323</v>
      </c>
      <c r="B324" s="2" t="inlineStr">
        <is>
          <t>Taza termo 14 oz magnolia azul</t>
        </is>
      </c>
      <c r="C324" s="3" t="n">
        <v>100</v>
      </c>
      <c r="D324" s="2" t="inlineStr">
        <is>
          <t>323.jpg</t>
        </is>
      </c>
      <c r="E324" s="2" t="inlineStr">
        <is>
          <t>Taza termo de 14 oz con diseño magnolia azul.</t>
        </is>
      </c>
      <c r="F324" s="2" t="inlineStr">
        <is>
          <t>Otros</t>
        </is>
      </c>
      <c r="G324" s="2" t="n">
        <v>9</v>
      </c>
      <c r="H324" s="2">
        <f>Configuracion!$B$2</f>
        <v/>
      </c>
      <c r="I324" s="4">
        <f>Configuracion!$B$3</f>
        <v/>
      </c>
      <c r="J324" s="2">
        <f>IF(UPPER(Configuracion!$B$2)="ON",Configuracion!$B$4,"")</f>
        <v/>
      </c>
      <c r="K324" s="3">
        <f>IF(UPPER(Configuracion!$B$2)="ON",ROUND(C324*(1-Configuracion!$B$3),0),ROUND(C324,0))</f>
        <v/>
      </c>
    </row>
    <row r="325">
      <c r="A325" s="2" t="n">
        <v>324</v>
      </c>
      <c r="B325" s="2" t="inlineStr">
        <is>
          <t>Taza termo 14 oz granada rosa</t>
        </is>
      </c>
      <c r="C325" s="3" t="n">
        <v>100</v>
      </c>
      <c r="D325" s="2" t="inlineStr">
        <is>
          <t>324.jpg</t>
        </is>
      </c>
      <c r="E325" s="2" t="inlineStr">
        <is>
          <t>Taza termo de 14 oz con diseño granada rosa.</t>
        </is>
      </c>
      <c r="F325" s="2" t="inlineStr">
        <is>
          <t>Otros</t>
        </is>
      </c>
      <c r="G325" s="2" t="n">
        <v>8</v>
      </c>
      <c r="H325" s="2">
        <f>Configuracion!$B$2</f>
        <v/>
      </c>
      <c r="I325" s="4">
        <f>Configuracion!$B$3</f>
        <v/>
      </c>
      <c r="J325" s="2">
        <f>IF(UPPER(Configuracion!$B$2)="ON",Configuracion!$B$4,"")</f>
        <v/>
      </c>
      <c r="K325" s="3">
        <f>IF(UPPER(Configuracion!$B$2)="ON",ROUND(C325*(1-Configuracion!$B$3),0),ROUND(C325,0))</f>
        <v/>
      </c>
    </row>
    <row r="326">
      <c r="A326" s="2" t="n">
        <v>325</v>
      </c>
      <c r="B326" s="2" t="inlineStr">
        <is>
          <t>Taza termo 14 oz rosa claro</t>
        </is>
      </c>
      <c r="C326" s="3" t="n">
        <v>100</v>
      </c>
      <c r="D326" s="2" t="inlineStr">
        <is>
          <t>325.jpg</t>
        </is>
      </c>
      <c r="E326" s="2" t="inlineStr">
        <is>
          <t>Taza termo de 14 oz con diseño rosa claro.</t>
        </is>
      </c>
      <c r="F326" s="2" t="inlineStr">
        <is>
          <t>Otros</t>
        </is>
      </c>
      <c r="G326" s="2" t="n">
        <v>8</v>
      </c>
      <c r="H326" s="2">
        <f>Configuracion!$B$2</f>
        <v/>
      </c>
      <c r="I326" s="4">
        <f>Configuracion!$B$3</f>
        <v/>
      </c>
      <c r="J326" s="2">
        <f>IF(UPPER(Configuracion!$B$2)="ON",Configuracion!$B$4,"")</f>
        <v/>
      </c>
      <c r="K326" s="3">
        <f>IF(UPPER(Configuracion!$B$2)="ON",ROUND(C326*(1-Configuracion!$B$3),0),ROUND(C326,0))</f>
        <v/>
      </c>
    </row>
    <row r="327">
      <c r="A327" s="2" t="n">
        <v>326</v>
      </c>
      <c r="B327" s="2" t="inlineStr">
        <is>
          <t>Taza termo 14 oz granada azul</t>
        </is>
      </c>
      <c r="C327" s="3" t="n">
        <v>100</v>
      </c>
      <c r="D327" s="2" t="inlineStr">
        <is>
          <t>326.jpg</t>
        </is>
      </c>
      <c r="E327" s="2" t="inlineStr">
        <is>
          <t>Taza termo de 14 oz con diseño granada azul.</t>
        </is>
      </c>
      <c r="F327" s="2" t="inlineStr">
        <is>
          <t>Otros</t>
        </is>
      </c>
      <c r="G327" s="2" t="n">
        <v>9</v>
      </c>
      <c r="H327" s="2">
        <f>Configuracion!$B$2</f>
        <v/>
      </c>
      <c r="I327" s="4">
        <f>Configuracion!$B$3</f>
        <v/>
      </c>
      <c r="J327" s="2">
        <f>IF(UPPER(Configuracion!$B$2)="ON",Configuracion!$B$4,"")</f>
        <v/>
      </c>
      <c r="K327" s="3">
        <f>IF(UPPER(Configuracion!$B$2)="ON",ROUND(C327*(1-Configuracion!$B$3),0),ROUND(C327,0))</f>
        <v/>
      </c>
    </row>
    <row r="328">
      <c r="A328" s="2" t="n">
        <v>327</v>
      </c>
      <c r="B328" s="2" t="inlineStr">
        <is>
          <t>Taza termo 14 oz hibisco púrpura</t>
        </is>
      </c>
      <c r="C328" s="3" t="n">
        <v>100</v>
      </c>
      <c r="D328" s="2" t="inlineStr">
        <is>
          <t>327.jpg</t>
        </is>
      </c>
      <c r="E328" s="2" t="inlineStr">
        <is>
          <t>Taza termo de 14 oz con diseño hibisco púrpura.</t>
        </is>
      </c>
      <c r="F328" s="2" t="inlineStr">
        <is>
          <t>Otros</t>
        </is>
      </c>
      <c r="G328" s="2" t="n">
        <v>8</v>
      </c>
      <c r="H328" s="2">
        <f>Configuracion!$B$2</f>
        <v/>
      </c>
      <c r="I328" s="4">
        <f>Configuracion!$B$3</f>
        <v/>
      </c>
      <c r="J328" s="2">
        <f>IF(UPPER(Configuracion!$B$2)="ON",Configuracion!$B$4,"")</f>
        <v/>
      </c>
      <c r="K328" s="3">
        <f>IF(UPPER(Configuracion!$B$2)="ON",ROUND(C328*(1-Configuracion!$B$3),0),ROUND(C328,0))</f>
        <v/>
      </c>
    </row>
    <row r="329">
      <c r="A329" s="2" t="n">
        <v>328</v>
      </c>
      <c r="B329" s="2" t="inlineStr">
        <is>
          <t>Taza termo 40 oz hibisco púrpura</t>
        </is>
      </c>
      <c r="C329" s="3" t="n">
        <v>120</v>
      </c>
      <c r="D329" s="2" t="inlineStr">
        <is>
          <t>328.jpg</t>
        </is>
      </c>
      <c r="E329" s="2" t="inlineStr">
        <is>
          <t>Taza termo de 40 oz con diseño hibisco púrpura.</t>
        </is>
      </c>
      <c r="F329" s="2" t="inlineStr">
        <is>
          <t>Otros</t>
        </is>
      </c>
      <c r="G329" s="2" t="n">
        <v>4</v>
      </c>
      <c r="H329" s="2">
        <f>Configuracion!$B$2</f>
        <v/>
      </c>
      <c r="I329" s="4">
        <f>Configuracion!$B$3</f>
        <v/>
      </c>
      <c r="J329" s="2">
        <f>IF(UPPER(Configuracion!$B$2)="ON",Configuracion!$B$4,"")</f>
        <v/>
      </c>
      <c r="K329" s="3">
        <f>IF(UPPER(Configuracion!$B$2)="ON",ROUND(C329*(1-Configuracion!$B$3),0),ROUND(C329,0))</f>
        <v/>
      </c>
    </row>
    <row r="330">
      <c r="A330" s="2" t="n">
        <v>329</v>
      </c>
      <c r="B330" s="2" t="inlineStr">
        <is>
          <t>Taza termo 40 oz rosa claro</t>
        </is>
      </c>
      <c r="C330" s="3" t="n">
        <v>120</v>
      </c>
      <c r="D330" s="2" t="inlineStr">
        <is>
          <t>329.jpg</t>
        </is>
      </c>
      <c r="E330" s="2" t="inlineStr">
        <is>
          <t>Taza termo de 40 oz con diseño rosa claro.</t>
        </is>
      </c>
      <c r="F330" s="2" t="inlineStr">
        <is>
          <t>Otros</t>
        </is>
      </c>
      <c r="G330" s="2" t="n">
        <v>4</v>
      </c>
      <c r="H330" s="2">
        <f>Configuracion!$B$2</f>
        <v/>
      </c>
      <c r="I330" s="4">
        <f>Configuracion!$B$3</f>
        <v/>
      </c>
      <c r="J330" s="2">
        <f>IF(UPPER(Configuracion!$B$2)="ON",Configuracion!$B$4,"")</f>
        <v/>
      </c>
      <c r="K330" s="3">
        <f>IF(UPPER(Configuracion!$B$2)="ON",ROUND(C330*(1-Configuracion!$B$3),0),ROUND(C330,0))</f>
        <v/>
      </c>
    </row>
    <row r="331">
      <c r="A331" s="2" t="n">
        <v>330</v>
      </c>
      <c r="B331" s="2" t="inlineStr">
        <is>
          <t>Taza termo 40 oz granada rosa</t>
        </is>
      </c>
      <c r="C331" s="3" t="n">
        <v>120</v>
      </c>
      <c r="D331" s="2" t="inlineStr">
        <is>
          <t>330.jpg</t>
        </is>
      </c>
      <c r="E331" s="2" t="inlineStr">
        <is>
          <t>Taza termo de 40 oz con diseño granada rosa.</t>
        </is>
      </c>
      <c r="F331" s="2" t="inlineStr">
        <is>
          <t>Otros</t>
        </is>
      </c>
      <c r="G331" s="2" t="n">
        <v>4</v>
      </c>
      <c r="H331" s="2">
        <f>Configuracion!$B$2</f>
        <v/>
      </c>
      <c r="I331" s="4">
        <f>Configuracion!$B$3</f>
        <v/>
      </c>
      <c r="J331" s="2">
        <f>IF(UPPER(Configuracion!$B$2)="ON",Configuracion!$B$4,"")</f>
        <v/>
      </c>
      <c r="K331" s="3">
        <f>IF(UPPER(Configuracion!$B$2)="ON",ROUND(C331*(1-Configuracion!$B$3),0),ROUND(C331,0))</f>
        <v/>
      </c>
    </row>
    <row r="332">
      <c r="A332" s="2" t="n">
        <v>331</v>
      </c>
      <c r="B332" s="2" t="inlineStr">
        <is>
          <t>Taza termo 40 oz rosa roja</t>
        </is>
      </c>
      <c r="C332" s="3" t="n">
        <v>120</v>
      </c>
      <c r="D332" s="2" t="inlineStr">
        <is>
          <t>331.jpg</t>
        </is>
      </c>
      <c r="E332" s="2" t="inlineStr">
        <is>
          <t>Taza termo de 40 oz con diseño rosa roja.</t>
        </is>
      </c>
      <c r="F332" s="2" t="inlineStr">
        <is>
          <t>Otros</t>
        </is>
      </c>
      <c r="G332" s="2" t="n">
        <v>4</v>
      </c>
      <c r="H332" s="2">
        <f>Configuracion!$B$2</f>
        <v/>
      </c>
      <c r="I332" s="4">
        <f>Configuracion!$B$3</f>
        <v/>
      </c>
      <c r="J332" s="2">
        <f>IF(UPPER(Configuracion!$B$2)="ON",Configuracion!$B$4,"")</f>
        <v/>
      </c>
      <c r="K332" s="3">
        <f>IF(UPPER(Configuracion!$B$2)="ON",ROUND(C332*(1-Configuracion!$B$3),0),ROUND(C332,0))</f>
        <v/>
      </c>
    </row>
    <row r="333">
      <c r="A333" s="2" t="n">
        <v>332</v>
      </c>
      <c r="B333" s="2" t="inlineStr">
        <is>
          <t>Taza termo 40 oz jazmin</t>
        </is>
      </c>
      <c r="C333" s="3" t="n">
        <v>120</v>
      </c>
      <c r="D333" s="2" t="inlineStr">
        <is>
          <t>332.jpg</t>
        </is>
      </c>
      <c r="E333" s="2" t="inlineStr">
        <is>
          <t>Taza termo de 40 oz con diseño granada azul.</t>
        </is>
      </c>
      <c r="F333" s="2" t="inlineStr">
        <is>
          <t>Otros</t>
        </is>
      </c>
      <c r="G333" s="2" t="n">
        <v>4</v>
      </c>
      <c r="H333" s="2">
        <f>Configuracion!$B$2</f>
        <v/>
      </c>
      <c r="I333" s="4">
        <f>Configuracion!$B$3</f>
        <v/>
      </c>
      <c r="J333" s="2">
        <f>IF(UPPER(Configuracion!$B$2)="ON",Configuracion!$B$4,"")</f>
        <v/>
      </c>
      <c r="K333" s="3">
        <f>IF(UPPER(Configuracion!$B$2)="ON",ROUND(C333*(1-Configuracion!$B$3),0),ROUND(C333,0))</f>
        <v/>
      </c>
    </row>
    <row r="334">
      <c r="A334" s="2" t="n">
        <v>333</v>
      </c>
      <c r="B334" s="2" t="inlineStr">
        <is>
          <t>Taza termo 40 oz girasoles</t>
        </is>
      </c>
      <c r="C334" s="3" t="n">
        <v>120</v>
      </c>
      <c r="D334" s="2" t="inlineStr">
        <is>
          <t>333.jpg</t>
        </is>
      </c>
      <c r="E334" s="2" t="inlineStr">
        <is>
          <t>Taza termo de 40 oz con diseño magnolia azul.</t>
        </is>
      </c>
      <c r="F334" s="2" t="inlineStr">
        <is>
          <t>Otros</t>
        </is>
      </c>
      <c r="G334" s="2" t="n">
        <v>5</v>
      </c>
      <c r="H334" s="2">
        <f>Configuracion!$B$2</f>
        <v/>
      </c>
      <c r="I334" s="4">
        <f>Configuracion!$B$3</f>
        <v/>
      </c>
      <c r="J334" s="2">
        <f>IF(UPPER(Configuracion!$B$2)="ON",Configuracion!$B$4,"")</f>
        <v/>
      </c>
      <c r="K334" s="3">
        <f>IF(UPPER(Configuracion!$B$2)="ON",ROUND(C334*(1-Configuracion!$B$3),0),ROUND(C334,0))</f>
        <v/>
      </c>
    </row>
    <row r="335">
      <c r="A335" s="2" t="n">
        <v>334</v>
      </c>
      <c r="B335" s="2" t="inlineStr">
        <is>
          <t>Taza termo VOGE rosada</t>
        </is>
      </c>
      <c r="C335" s="3" t="n">
        <v>100</v>
      </c>
      <c r="D335" s="2" t="inlineStr">
        <is>
          <t>334.jpg</t>
        </is>
      </c>
      <c r="E335" s="2" t="inlineStr">
        <is>
          <t>Taza termo VOGE en color rosado.</t>
        </is>
      </c>
      <c r="F335" s="2" t="inlineStr">
        <is>
          <t>Otros</t>
        </is>
      </c>
      <c r="G335" s="2" t="n">
        <v>10</v>
      </c>
      <c r="H335" s="2">
        <f>Configuracion!$B$2</f>
        <v/>
      </c>
      <c r="I335" s="4">
        <f>Configuracion!$B$3</f>
        <v/>
      </c>
      <c r="J335" s="2">
        <f>IF(UPPER(Configuracion!$B$2)="ON",Configuracion!$B$4,"")</f>
        <v/>
      </c>
      <c r="K335" s="3">
        <f>IF(UPPER(Configuracion!$B$2)="ON",ROUND(C335*(1-Configuracion!$B$3),0),ROUND(C335,0))</f>
        <v/>
      </c>
    </row>
    <row r="336">
      <c r="A336" s="2" t="n">
        <v>335</v>
      </c>
      <c r="B336" s="2" t="inlineStr">
        <is>
          <t>Taza termo VOGE negra</t>
        </is>
      </c>
      <c r="C336" s="3" t="n">
        <v>100</v>
      </c>
      <c r="D336" s="2" t="inlineStr">
        <is>
          <t>335.jpg</t>
        </is>
      </c>
      <c r="E336" s="2" t="inlineStr">
        <is>
          <t>Taza termo VOGE en color negro.</t>
        </is>
      </c>
      <c r="F336" s="2" t="inlineStr">
        <is>
          <t>Otros</t>
        </is>
      </c>
      <c r="G336" s="2" t="n">
        <v>10</v>
      </c>
      <c r="H336" s="2">
        <f>Configuracion!$B$2</f>
        <v/>
      </c>
      <c r="I336" s="4">
        <f>Configuracion!$B$3</f>
        <v/>
      </c>
      <c r="J336" s="2">
        <f>IF(UPPER(Configuracion!$B$2)="ON",Configuracion!$B$4,"")</f>
        <v/>
      </c>
      <c r="K336" s="3">
        <f>IF(UPPER(Configuracion!$B$2)="ON",ROUND(C336*(1-Configuracion!$B$3),0),ROUND(C336,0))</f>
        <v/>
      </c>
    </row>
    <row r="337">
      <c r="A337" s="2" t="n">
        <v>336</v>
      </c>
      <c r="B337" s="2" t="inlineStr">
        <is>
          <t>Taza termo VOGE blanca</t>
        </is>
      </c>
      <c r="C337" s="3" t="n">
        <v>100</v>
      </c>
      <c r="D337" s="2" t="inlineStr">
        <is>
          <t>336.jpg</t>
        </is>
      </c>
      <c r="E337" s="2" t="inlineStr">
        <is>
          <t>Taza termo VOGE en color blanco.</t>
        </is>
      </c>
      <c r="F337" s="2" t="inlineStr">
        <is>
          <t>Otros</t>
        </is>
      </c>
      <c r="G337" s="2" t="n">
        <v>10</v>
      </c>
      <c r="H337" s="2">
        <f>Configuracion!$B$2</f>
        <v/>
      </c>
      <c r="I337" s="4">
        <f>Configuracion!$B$3</f>
        <v/>
      </c>
      <c r="J337" s="2">
        <f>IF(UPPER(Configuracion!$B$2)="ON",Configuracion!$B$4,"")</f>
        <v/>
      </c>
      <c r="K337" s="3">
        <f>IF(UPPER(Configuracion!$B$2)="ON",ROUND(C337*(1-Configuracion!$B$3),0),ROUND(C337,0))</f>
        <v/>
      </c>
    </row>
    <row r="338" ht="12.9" customHeight="1">
      <c r="A338" s="2" t="n">
        <v>337</v>
      </c>
      <c r="B338" s="2" t="inlineStr">
        <is>
          <t>Licuadora portátil rosa doble vaso</t>
        </is>
      </c>
      <c r="C338" s="3" t="n">
        <v>85</v>
      </c>
      <c r="D338" s="2" t="inlineStr">
        <is>
          <t>337.jpg</t>
        </is>
      </c>
      <c r="E338" s="2" t="inlineStr">
        <is>
          <t>Licuadora portátil recargable en color rosa, 6 cuchillas y doble vaso.</t>
        </is>
      </c>
      <c r="F338" s="2" t="inlineStr">
        <is>
          <t>Otros</t>
        </is>
      </c>
      <c r="G338" s="2" t="n">
        <v>30</v>
      </c>
      <c r="H338" s="2">
        <f>Configuracion!$B$2</f>
        <v/>
      </c>
      <c r="I338" s="4">
        <f>Configuracion!$B$3</f>
        <v/>
      </c>
      <c r="J338" s="2">
        <f>IF(UPPER(Configuracion!$B$2)="ON",Configuracion!$B$4,"")</f>
        <v/>
      </c>
      <c r="K338" s="3">
        <f>IF(UPPER(Configuracion!$B$2)="ON",ROUND(C338*(1-Configuracion!$B$3),0),ROUND(C338,0))</f>
        <v/>
      </c>
    </row>
    <row r="339" ht="12.9" customHeight="1">
      <c r="A339" s="2" t="n">
        <v>338</v>
      </c>
      <c r="B339" s="2" t="inlineStr">
        <is>
          <t>Licuadora portátil negra doble vaso</t>
        </is>
      </c>
      <c r="C339" s="3" t="n">
        <v>85</v>
      </c>
      <c r="D339" s="2" t="inlineStr">
        <is>
          <t>338.jpg</t>
        </is>
      </c>
      <c r="E339" s="2" t="inlineStr">
        <is>
          <t>Licuadora portátil recargable en color negro, 6 cuchillas y doble vaso.</t>
        </is>
      </c>
      <c r="F339" s="2" t="inlineStr">
        <is>
          <t>Otros</t>
        </is>
      </c>
      <c r="G339" s="2" t="n">
        <v>30</v>
      </c>
      <c r="H339" s="2">
        <f>Configuracion!$B$2</f>
        <v/>
      </c>
      <c r="I339" s="4">
        <f>Configuracion!$B$3</f>
        <v/>
      </c>
      <c r="J339" s="2">
        <f>IF(UPPER(Configuracion!$B$2)="ON",Configuracion!$B$4,"")</f>
        <v/>
      </c>
      <c r="K339" s="3">
        <f>IF(UPPER(Configuracion!$B$2)="ON",ROUND(C339*(1-Configuracion!$B$3),0),ROUND(C339,0))</f>
        <v/>
      </c>
    </row>
    <row r="340" ht="29" customHeight="1">
      <c r="A340" s="2" t="n">
        <v>339</v>
      </c>
      <c r="B340" s="2" t="inlineStr">
        <is>
          <t>Licuadora + tomatodo 350 ml</t>
        </is>
      </c>
      <c r="C340" s="3" t="n">
        <v>160</v>
      </c>
      <c r="D340" s="2" t="inlineStr">
        <is>
          <t>339.jpg</t>
        </is>
      </c>
      <c r="E340" s="2" t="inlineStr">
        <is>
          <t>Licuadora portátil de 350 ml tipo tomatodo con doble batería.</t>
        </is>
      </c>
      <c r="F340" s="2" t="inlineStr">
        <is>
          <t>Otros</t>
        </is>
      </c>
      <c r="G340" s="2" t="n">
        <v>24</v>
      </c>
      <c r="H340" s="2">
        <f>Configuracion!$B$2</f>
        <v/>
      </c>
      <c r="I340" s="4">
        <f>Configuracion!$B$3</f>
        <v/>
      </c>
      <c r="J340" s="2">
        <f>IF(UPPER(Configuracion!$B$2)="ON",Configuracion!$B$4,"")</f>
        <v/>
      </c>
      <c r="K340" s="3">
        <f>IF(UPPER(Configuracion!$B$2)="ON",ROUND(C340*(1-Configuracion!$B$3),0),ROUND(C340,0))</f>
        <v/>
      </c>
    </row>
    <row r="341">
      <c r="A341" s="2" t="n">
        <v>340</v>
      </c>
      <c r="B341" s="2" t="inlineStr">
        <is>
          <t>Vaso Tea Princess blanco 500 ml</t>
        </is>
      </c>
      <c r="C341" s="3" t="n">
        <v>75</v>
      </c>
      <c r="D341" s="2" t="inlineStr">
        <is>
          <t>340.jpg</t>
        </is>
      </c>
      <c r="E341" s="2" t="inlineStr">
        <is>
          <t>Vaso de 500 ml en acero inoxidable 316, color blanco.</t>
        </is>
      </c>
      <c r="F341" s="2" t="inlineStr">
        <is>
          <t>Otros</t>
        </is>
      </c>
      <c r="G341" s="2" t="n">
        <v>10</v>
      </c>
      <c r="H341" s="2">
        <f>Configuracion!$B$2</f>
        <v/>
      </c>
      <c r="I341" s="4">
        <f>Configuracion!$B$3</f>
        <v/>
      </c>
      <c r="J341" s="2">
        <f>IF(UPPER(Configuracion!$B$2)="ON",Configuracion!$B$4,"")</f>
        <v/>
      </c>
      <c r="K341" s="3">
        <f>IF(UPPER(Configuracion!$B$2)="ON",ROUND(C341*(1-Configuracion!$B$3),0),ROUND(C341,0))</f>
        <v/>
      </c>
    </row>
    <row r="342">
      <c r="A342" s="2" t="n">
        <v>341</v>
      </c>
      <c r="B342" s="2" t="inlineStr">
        <is>
          <t>Vaso Flower Language blanco 500 ml</t>
        </is>
      </c>
      <c r="C342" s="3" t="n">
        <v>75</v>
      </c>
      <c r="D342" s="2" t="inlineStr">
        <is>
          <t>341.jpg</t>
        </is>
      </c>
      <c r="E342" s="2" t="inlineStr">
        <is>
          <t>Vaso de 500 ml en acero inoxidable 316, color blanco.</t>
        </is>
      </c>
      <c r="F342" s="2" t="inlineStr">
        <is>
          <t>Otros</t>
        </is>
      </c>
      <c r="G342" s="2" t="n">
        <v>10</v>
      </c>
      <c r="H342" s="2">
        <f>Configuracion!$B$2</f>
        <v/>
      </c>
      <c r="I342" s="4">
        <f>Configuracion!$B$3</f>
        <v/>
      </c>
      <c r="J342" s="2">
        <f>IF(UPPER(Configuracion!$B$2)="ON",Configuracion!$B$4,"")</f>
        <v/>
      </c>
      <c r="K342" s="3">
        <f>IF(UPPER(Configuracion!$B$2)="ON",ROUND(C342*(1-Configuracion!$B$3),0),ROUND(C342,0))</f>
        <v/>
      </c>
    </row>
    <row r="343">
      <c r="A343" s="2" t="n">
        <v>342</v>
      </c>
      <c r="B343" s="2" t="inlineStr">
        <is>
          <t>Vaso Flower Language negro 500 ml</t>
        </is>
      </c>
      <c r="C343" s="3" t="n">
        <v>75</v>
      </c>
      <c r="D343" s="2" t="inlineStr">
        <is>
          <t>342.jpg</t>
        </is>
      </c>
      <c r="E343" s="2" t="inlineStr">
        <is>
          <t>Vaso de 500 ml en acero inoxidable 316, color negro.</t>
        </is>
      </c>
      <c r="F343" s="2" t="inlineStr">
        <is>
          <t>Otros</t>
        </is>
      </c>
      <c r="G343" s="2" t="n">
        <v>10</v>
      </c>
      <c r="H343" s="2">
        <f>Configuracion!$B$2</f>
        <v/>
      </c>
      <c r="I343" s="4">
        <f>Configuracion!$B$3</f>
        <v/>
      </c>
      <c r="J343" s="2">
        <f>IF(UPPER(Configuracion!$B$2)="ON",Configuracion!$B$4,"")</f>
        <v/>
      </c>
      <c r="K343" s="3">
        <f>IF(UPPER(Configuracion!$B$2)="ON",ROUND(C343*(1-Configuracion!$B$3),0),ROUND(C343,0))</f>
        <v/>
      </c>
    </row>
    <row r="344" ht="12.9" customHeight="1">
      <c r="A344" s="2" t="n">
        <v>343</v>
      </c>
      <c r="B344" s="2" t="inlineStr">
        <is>
          <t>Vaso flor de cerezo blanco 500 ml</t>
        </is>
      </c>
      <c r="C344" s="3" t="n">
        <v>75</v>
      </c>
      <c r="D344" s="2" t="inlineStr">
        <is>
          <t>343.jpg</t>
        </is>
      </c>
      <c r="E344" s="2" t="inlineStr">
        <is>
          <t>Vaso de 500 ml en acero inoxidable 316 con diseño flor de cerezo blanco.</t>
        </is>
      </c>
      <c r="F344" s="2" t="inlineStr">
        <is>
          <t>Otros</t>
        </is>
      </c>
      <c r="G344" s="2" t="n">
        <v>10</v>
      </c>
      <c r="H344" s="2">
        <f>Configuracion!$B$2</f>
        <v/>
      </c>
      <c r="I344" s="4">
        <f>Configuracion!$B$3</f>
        <v/>
      </c>
      <c r="J344" s="2">
        <f>IF(UPPER(Configuracion!$B$2)="ON",Configuracion!$B$4,"")</f>
        <v/>
      </c>
      <c r="K344" s="3">
        <f>IF(UPPER(Configuracion!$B$2)="ON",ROUND(C344*(1-Configuracion!$B$3),0),ROUND(C344,0))</f>
        <v/>
      </c>
    </row>
    <row r="345">
      <c r="A345" s="2" t="n">
        <v>344</v>
      </c>
      <c r="B345" s="2" t="inlineStr">
        <is>
          <t>Vaso Tea Princess negro 500 ml</t>
        </is>
      </c>
      <c r="C345" s="3" t="n">
        <v>75</v>
      </c>
      <c r="D345" s="2" t="inlineStr">
        <is>
          <t>344.jpg</t>
        </is>
      </c>
      <c r="E345" s="2" t="inlineStr">
        <is>
          <t>Vaso de 500 ml en acero inoxidable 316, color negro.</t>
        </is>
      </c>
      <c r="F345" s="2" t="inlineStr">
        <is>
          <t>Otros</t>
        </is>
      </c>
      <c r="G345" s="2" t="n">
        <v>10</v>
      </c>
      <c r="H345" s="2">
        <f>Configuracion!$B$2</f>
        <v/>
      </c>
      <c r="I345" s="4">
        <f>Configuracion!$B$3</f>
        <v/>
      </c>
      <c r="J345" s="2">
        <f>IF(UPPER(Configuracion!$B$2)="ON",Configuracion!$B$4,"")</f>
        <v/>
      </c>
      <c r="K345" s="3">
        <f>IF(UPPER(Configuracion!$B$2)="ON",ROUND(C345*(1-Configuracion!$B$3),0),ROUND(C345,0))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.5"/>
  <cols>
    <col width="22" customWidth="1" min="1" max="1"/>
    <col width="24" customWidth="1" min="2" max="2"/>
    <col width="48" customWidth="1" min="3" max="3"/>
  </cols>
  <sheetData>
    <row r="1">
      <c r="A1" s="1" t="inlineStr">
        <is>
          <t>Variable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discount_mode</t>
        </is>
      </c>
      <c r="B2" s="2" t="inlineStr">
        <is>
          <t>ON</t>
        </is>
      </c>
      <c r="C2" s="2" t="inlineStr">
        <is>
          <t>Usa ON u OFF para activar o apagar el descuento global.</t>
        </is>
      </c>
    </row>
    <row r="3">
      <c r="A3" s="2" t="inlineStr">
        <is>
          <t>discount_rate</t>
        </is>
      </c>
      <c r="B3" s="4" t="n">
        <v>0.15</v>
      </c>
      <c r="C3" s="2" t="inlineStr">
        <is>
          <t>Porcentaje global aplicado a todo el catálogo.</t>
        </is>
      </c>
    </row>
    <row r="4">
      <c r="A4" s="2" t="inlineStr">
        <is>
          <t>discount_label</t>
        </is>
      </c>
      <c r="B4" s="2" t="inlineStr">
        <is>
          <t>follow+like+comenta=15%</t>
        </is>
      </c>
      <c r="C4" s="2" t="inlineStr">
        <is>
          <t>Texto promocional mostrado en la web.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4.5"/>
  <cols>
    <col width="10" customWidth="1" min="1" max="1"/>
    <col width="40" customWidth="1" min="2" max="2"/>
    <col width="10" customWidth="1" min="3" max="3"/>
    <col width="14" customWidth="1" min="4" max="4"/>
    <col width="52" customWidth="1" min="5" max="5"/>
    <col width="14" customWidth="1" min="6" max="6"/>
    <col width="10" customWidth="1" min="7" max="7"/>
    <col width="16" customWidth="1" min="8" max="8"/>
    <col width="26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inStock</t>
        </is>
      </c>
      <c r="H1" s="1" t="inlineStr">
        <is>
          <t>discount_mode</t>
        </is>
      </c>
      <c r="I1" s="1" t="inlineStr">
        <is>
          <t>discount_rate</t>
        </is>
      </c>
      <c r="J1" s="1" t="inlineStr">
        <is>
          <t>discount_label</t>
        </is>
      </c>
      <c r="K1" s="1" t="inlineStr">
        <is>
          <t>price_discounted</t>
        </is>
      </c>
    </row>
    <row r="2">
      <c r="A2" t="n">
        <v>311</v>
      </c>
      <c r="B2" t="inlineStr">
        <is>
          <t>Licuadora portátil 1300 ml azul</t>
        </is>
      </c>
      <c r="C2" s="5" t="n">
        <v>100</v>
      </c>
      <c r="E2" t="inlineStr">
        <is>
          <t>Licuadora portátil de 1300 ml con cuchilla de 38 hojas, color azul.</t>
        </is>
      </c>
      <c r="F2" t="inlineStr">
        <is>
          <t>Otros</t>
        </is>
      </c>
      <c r="G2" t="n">
        <v>40</v>
      </c>
      <c r="H2">
        <f>Configuracion!$B$2</f>
        <v/>
      </c>
      <c r="I2" s="6">
        <f>Configuracion!$B$3</f>
        <v/>
      </c>
      <c r="J2">
        <f>IF(UPPER(Configuracion!$B$2)="ON",Configuracion!$B$4,"")</f>
        <v/>
      </c>
      <c r="K2" s="5">
        <f>IF(UPPER(Configuracion!$B$2)="ON",ROUND(C2*(1-Configuracion!$B$3),0),ROUND(C2,0))</f>
        <v/>
      </c>
    </row>
    <row r="3">
      <c r="A3" t="n">
        <v>312</v>
      </c>
      <c r="B3" t="inlineStr">
        <is>
          <t>Licuadora portátil 1300 ml blanca</t>
        </is>
      </c>
      <c r="C3" s="5" t="n">
        <v>100</v>
      </c>
      <c r="E3" t="inlineStr">
        <is>
          <t>Licuadora portátil de 1300 ml con cuchilla de 38 hojas, color blanco.</t>
        </is>
      </c>
      <c r="F3" t="inlineStr">
        <is>
          <t>Otros</t>
        </is>
      </c>
      <c r="G3" t="n">
        <v>40</v>
      </c>
      <c r="H3">
        <f>Configuracion!$B$2</f>
        <v/>
      </c>
      <c r="I3" s="6">
        <f>Configuracion!$B$3</f>
        <v/>
      </c>
      <c r="J3">
        <f>IF(UPPER(Configuracion!$B$2)="ON",Configuracion!$B$4,"")</f>
        <v/>
      </c>
      <c r="K3" s="5">
        <f>IF(UPPER(Configuracion!$B$2)="ON",ROUND(C3*(1-Configuracion!$B$3),0),ROUND(C3,0))</f>
        <v/>
      </c>
    </row>
    <row r="4">
      <c r="A4" t="n">
        <v>313</v>
      </c>
      <c r="B4" t="inlineStr">
        <is>
          <t>Vaso térmico jardín rosa blanca 500 ml</t>
        </is>
      </c>
      <c r="C4" s="5" t="n">
        <v>100</v>
      </c>
      <c r="E4" t="inlineStr">
        <is>
          <t>Vaso térmico de 500 ml con diseño jardín rosa blanca.</t>
        </is>
      </c>
      <c r="F4" t="inlineStr">
        <is>
          <t>Otros</t>
        </is>
      </c>
      <c r="G4" t="n">
        <v>10</v>
      </c>
      <c r="H4">
        <f>Configuracion!$B$2</f>
        <v/>
      </c>
      <c r="I4" s="6">
        <f>Configuracion!$B$3</f>
        <v/>
      </c>
      <c r="J4">
        <f>IF(UPPER(Configuracion!$B$2)="ON",Configuracion!$B$4,"")</f>
        <v/>
      </c>
      <c r="K4" s="5">
        <f>IF(UPPER(Configuracion!$B$2)="ON",ROUND(C4*(1-Configuracion!$B$3),0),ROUND(C4,0))</f>
        <v/>
      </c>
    </row>
    <row r="5">
      <c r="A5" t="n">
        <v>314</v>
      </c>
      <c r="B5" t="inlineStr">
        <is>
          <t>Vaso térmico jardín girasol 500 ml</t>
        </is>
      </c>
      <c r="C5" s="5" t="n">
        <v>100</v>
      </c>
      <c r="E5" t="inlineStr">
        <is>
          <t>Vaso térmico de 500 ml con diseño jardín girasol.</t>
        </is>
      </c>
      <c r="F5" t="inlineStr">
        <is>
          <t>Otros</t>
        </is>
      </c>
      <c r="G5" t="n">
        <v>10</v>
      </c>
      <c r="H5">
        <f>Configuracion!$B$2</f>
        <v/>
      </c>
      <c r="I5" s="6">
        <f>Configuracion!$B$3</f>
        <v/>
      </c>
      <c r="J5">
        <f>IF(UPPER(Configuracion!$B$2)="ON",Configuracion!$B$4,"")</f>
        <v/>
      </c>
      <c r="K5" s="5">
        <f>IF(UPPER(Configuracion!$B$2)="ON",ROUND(C5*(1-Configuracion!$B$3),0),ROUND(C5,0))</f>
        <v/>
      </c>
    </row>
    <row r="6">
      <c r="A6" t="n">
        <v>315</v>
      </c>
      <c r="B6" t="inlineStr">
        <is>
          <t>Vaso térmico jardín adelfa 500 ml</t>
        </is>
      </c>
      <c r="C6" s="5" t="n">
        <v>100</v>
      </c>
      <c r="E6" t="inlineStr">
        <is>
          <t>Vaso térmico de 500 ml con diseño jardín adelfa.</t>
        </is>
      </c>
      <c r="F6" t="inlineStr">
        <is>
          <t>Otros</t>
        </is>
      </c>
      <c r="G6" t="n">
        <v>10</v>
      </c>
      <c r="H6">
        <f>Configuracion!$B$2</f>
        <v/>
      </c>
      <c r="I6" s="6">
        <f>Configuracion!$B$3</f>
        <v/>
      </c>
      <c r="J6">
        <f>IF(UPPER(Configuracion!$B$2)="ON",Configuracion!$B$4,"")</f>
        <v/>
      </c>
      <c r="K6" s="5">
        <f>IF(UPPER(Configuracion!$B$2)="ON",ROUND(C6*(1-Configuracion!$B$3),0),ROUND(C6,0))</f>
        <v/>
      </c>
    </row>
    <row r="7">
      <c r="A7" t="n">
        <v>316</v>
      </c>
      <c r="B7" t="inlineStr">
        <is>
          <t>Vaso térmico jardín lirio 500 ml</t>
        </is>
      </c>
      <c r="C7" s="5" t="n">
        <v>100</v>
      </c>
      <c r="E7" t="inlineStr">
        <is>
          <t>Vaso térmico de 500 ml con diseño jardín lirio.</t>
        </is>
      </c>
      <c r="F7" t="inlineStr">
        <is>
          <t>Otros</t>
        </is>
      </c>
      <c r="G7" t="n">
        <v>10</v>
      </c>
      <c r="H7">
        <f>Configuracion!$B$2</f>
        <v/>
      </c>
      <c r="I7" s="6">
        <f>Configuracion!$B$3</f>
        <v/>
      </c>
      <c r="J7">
        <f>IF(UPPER(Configuracion!$B$2)="ON",Configuracion!$B$4,"")</f>
        <v/>
      </c>
      <c r="K7" s="5">
        <f>IF(UPPER(Configuracion!$B$2)="ON",ROUND(C7*(1-Configuracion!$B$3),0),ROUND(C7,0))</f>
        <v/>
      </c>
    </row>
    <row r="8">
      <c r="A8" t="n">
        <v>317</v>
      </c>
      <c r="B8" t="inlineStr">
        <is>
          <t>Termo 420 ml blanco marfil</t>
        </is>
      </c>
      <c r="C8" s="5" t="n">
        <v>100</v>
      </c>
      <c r="E8" t="inlineStr">
        <is>
          <t>Termo de 420 ml en color blanco marfil.</t>
        </is>
      </c>
      <c r="F8" t="inlineStr">
        <is>
          <t>Otros</t>
        </is>
      </c>
      <c r="G8" t="n">
        <v>10</v>
      </c>
      <c r="H8">
        <f>Configuracion!$B$2</f>
        <v/>
      </c>
      <c r="I8" s="6">
        <f>Configuracion!$B$3</f>
        <v/>
      </c>
      <c r="J8">
        <f>IF(UPPER(Configuracion!$B$2)="ON",Configuracion!$B$4,"")</f>
        <v/>
      </c>
      <c r="K8" s="5">
        <f>IF(UPPER(Configuracion!$B$2)="ON",ROUND(C8*(1-Configuracion!$B$3),0),ROUND(C8,0))</f>
        <v/>
      </c>
    </row>
    <row r="9">
      <c r="A9" t="n">
        <v>318</v>
      </c>
      <c r="B9" t="inlineStr">
        <is>
          <t>Termo 420 ml rosa</t>
        </is>
      </c>
      <c r="C9" s="5" t="n">
        <v>100</v>
      </c>
      <c r="E9" t="inlineStr">
        <is>
          <t>Termo de 420 ml en color rosa.</t>
        </is>
      </c>
      <c r="F9" t="inlineStr">
        <is>
          <t>Otros</t>
        </is>
      </c>
      <c r="G9" t="n">
        <v>10</v>
      </c>
      <c r="H9">
        <f>Configuracion!$B$2</f>
        <v/>
      </c>
      <c r="I9" s="6">
        <f>Configuracion!$B$3</f>
        <v/>
      </c>
      <c r="J9">
        <f>IF(UPPER(Configuracion!$B$2)="ON",Configuracion!$B$4,"")</f>
        <v/>
      </c>
      <c r="K9" s="5">
        <f>IF(UPPER(Configuracion!$B$2)="ON",ROUND(C9*(1-Configuracion!$B$3),0),ROUND(C9,0))</f>
        <v/>
      </c>
    </row>
    <row r="10">
      <c r="A10" t="n">
        <v>319</v>
      </c>
      <c r="B10" t="inlineStr">
        <is>
          <t>Termo 420 ml durazno</t>
        </is>
      </c>
      <c r="C10" s="5" t="n">
        <v>100</v>
      </c>
      <c r="E10" t="inlineStr">
        <is>
          <t>Termo de 420 ml en color durazno.</t>
        </is>
      </c>
      <c r="F10" t="inlineStr">
        <is>
          <t>Otros</t>
        </is>
      </c>
      <c r="G10" t="n">
        <v>10</v>
      </c>
      <c r="H10">
        <f>Configuracion!$B$2</f>
        <v/>
      </c>
      <c r="I10" s="6">
        <f>Configuracion!$B$3</f>
        <v/>
      </c>
      <c r="J10">
        <f>IF(UPPER(Configuracion!$B$2)="ON",Configuracion!$B$4,"")</f>
        <v/>
      </c>
      <c r="K10" s="5">
        <f>IF(UPPER(Configuracion!$B$2)="ON",ROUND(C10*(1-Configuracion!$B$3),0),ROUND(C10,0))</f>
        <v/>
      </c>
    </row>
    <row r="11">
      <c r="A11" t="n">
        <v>320</v>
      </c>
      <c r="B11" t="inlineStr">
        <is>
          <t>Termo 420 ml negro</t>
        </is>
      </c>
      <c r="C11" s="5" t="n">
        <v>100</v>
      </c>
      <c r="E11" t="inlineStr">
        <is>
          <t>Termo de 420 ml en color negro.</t>
        </is>
      </c>
      <c r="F11" t="inlineStr">
        <is>
          <t>Otros</t>
        </is>
      </c>
      <c r="G11" t="n">
        <v>5</v>
      </c>
      <c r="H11">
        <f>Configuracion!$B$2</f>
        <v/>
      </c>
      <c r="I11" s="6">
        <f>Configuracion!$B$3</f>
        <v/>
      </c>
      <c r="J11">
        <f>IF(UPPER(Configuracion!$B$2)="ON",Configuracion!$B$4,"")</f>
        <v/>
      </c>
      <c r="K11" s="5">
        <f>IF(UPPER(Configuracion!$B$2)="ON",ROUND(C11*(1-Configuracion!$B$3),0),ROUND(C11,0))</f>
        <v/>
      </c>
    </row>
    <row r="12">
      <c r="A12" t="n">
        <v>321</v>
      </c>
      <c r="B12" t="inlineStr">
        <is>
          <t>Termo 420 ml azul cielo</t>
        </is>
      </c>
      <c r="C12" s="5" t="n">
        <v>100</v>
      </c>
      <c r="E12" t="inlineStr">
        <is>
          <t>Termo de 420 ml en color azul cielo.</t>
        </is>
      </c>
      <c r="F12" t="inlineStr">
        <is>
          <t>Otros</t>
        </is>
      </c>
      <c r="G12" t="n">
        <v>5</v>
      </c>
      <c r="H12">
        <f>Configuracion!$B$2</f>
        <v/>
      </c>
      <c r="I12" s="6">
        <f>Configuracion!$B$3</f>
        <v/>
      </c>
      <c r="J12">
        <f>IF(UPPER(Configuracion!$B$2)="ON",Configuracion!$B$4,"")</f>
        <v/>
      </c>
      <c r="K12" s="5">
        <f>IF(UPPER(Configuracion!$B$2)="ON",ROUND(C12*(1-Configuracion!$B$3),0),ROUND(C12,0))</f>
        <v/>
      </c>
    </row>
    <row r="13">
      <c r="A13" t="n">
        <v>322</v>
      </c>
      <c r="B13" t="inlineStr">
        <is>
          <t>Taza termo 14 oz rosa roja</t>
        </is>
      </c>
      <c r="C13" s="5" t="n">
        <v>100</v>
      </c>
      <c r="E13" t="inlineStr">
        <is>
          <t>Taza termo de 14 oz con diseño rosa roja.</t>
        </is>
      </c>
      <c r="F13" t="inlineStr">
        <is>
          <t>Otros</t>
        </is>
      </c>
      <c r="G13" t="n">
        <v>8</v>
      </c>
      <c r="H13">
        <f>Configuracion!$B$2</f>
        <v/>
      </c>
      <c r="I13" s="6">
        <f>Configuracion!$B$3</f>
        <v/>
      </c>
      <c r="J13">
        <f>IF(UPPER(Configuracion!$B$2)="ON",Configuracion!$B$4,"")</f>
        <v/>
      </c>
      <c r="K13" s="5">
        <f>IF(UPPER(Configuracion!$B$2)="ON",ROUND(C13*(1-Configuracion!$B$3),0),ROUND(C13,0))</f>
        <v/>
      </c>
    </row>
    <row r="14">
      <c r="A14" t="n">
        <v>323</v>
      </c>
      <c r="B14" t="inlineStr">
        <is>
          <t>Taza termo 14 oz magnolia azul</t>
        </is>
      </c>
      <c r="C14" s="5" t="n">
        <v>100</v>
      </c>
      <c r="E14" t="inlineStr">
        <is>
          <t>Taza termo de 14 oz con diseño magnolia azul.</t>
        </is>
      </c>
      <c r="F14" t="inlineStr">
        <is>
          <t>Otros</t>
        </is>
      </c>
      <c r="G14" t="n">
        <v>9</v>
      </c>
      <c r="H14">
        <f>Configuracion!$B$2</f>
        <v/>
      </c>
      <c r="I14" s="6">
        <f>Configuracion!$B$3</f>
        <v/>
      </c>
      <c r="J14">
        <f>IF(UPPER(Configuracion!$B$2)="ON",Configuracion!$B$4,"")</f>
        <v/>
      </c>
      <c r="K14" s="5">
        <f>IF(UPPER(Configuracion!$B$2)="ON",ROUND(C14*(1-Configuracion!$B$3),0),ROUND(C14,0))</f>
        <v/>
      </c>
    </row>
    <row r="15">
      <c r="A15" t="n">
        <v>324</v>
      </c>
      <c r="B15" t="inlineStr">
        <is>
          <t>Taza termo 14 oz granada rosa</t>
        </is>
      </c>
      <c r="C15" s="5" t="n">
        <v>100</v>
      </c>
      <c r="E15" t="inlineStr">
        <is>
          <t>Taza termo de 14 oz con diseño granada rosa.</t>
        </is>
      </c>
      <c r="F15" t="inlineStr">
        <is>
          <t>Otros</t>
        </is>
      </c>
      <c r="G15" t="n">
        <v>8</v>
      </c>
      <c r="H15">
        <f>Configuracion!$B$2</f>
        <v/>
      </c>
      <c r="I15" s="6">
        <f>Configuracion!$B$3</f>
        <v/>
      </c>
      <c r="J15">
        <f>IF(UPPER(Configuracion!$B$2)="ON",Configuracion!$B$4,"")</f>
        <v/>
      </c>
      <c r="K15" s="5">
        <f>IF(UPPER(Configuracion!$B$2)="ON",ROUND(C15*(1-Configuracion!$B$3),0),ROUND(C15,0))</f>
        <v/>
      </c>
    </row>
    <row r="16">
      <c r="A16" t="n">
        <v>325</v>
      </c>
      <c r="B16" t="inlineStr">
        <is>
          <t>Taza termo 14 oz rosa claro</t>
        </is>
      </c>
      <c r="C16" s="5" t="n">
        <v>100</v>
      </c>
      <c r="E16" t="inlineStr">
        <is>
          <t>Taza termo de 14 oz con diseño rosa claro.</t>
        </is>
      </c>
      <c r="F16" t="inlineStr">
        <is>
          <t>Otros</t>
        </is>
      </c>
      <c r="G16" t="n">
        <v>8</v>
      </c>
      <c r="H16">
        <f>Configuracion!$B$2</f>
        <v/>
      </c>
      <c r="I16" s="6">
        <f>Configuracion!$B$3</f>
        <v/>
      </c>
      <c r="J16">
        <f>IF(UPPER(Configuracion!$B$2)="ON",Configuracion!$B$4,"")</f>
        <v/>
      </c>
      <c r="K16" s="5">
        <f>IF(UPPER(Configuracion!$B$2)="ON",ROUND(C16*(1-Configuracion!$B$3),0),ROUND(C16,0))</f>
        <v/>
      </c>
    </row>
    <row r="17">
      <c r="A17" t="n">
        <v>326</v>
      </c>
      <c r="B17" t="inlineStr">
        <is>
          <t>Taza termo 14 oz granada azul</t>
        </is>
      </c>
      <c r="C17" s="5" t="n">
        <v>100</v>
      </c>
      <c r="E17" t="inlineStr">
        <is>
          <t>Taza termo de 14 oz con diseño granada azul.</t>
        </is>
      </c>
      <c r="F17" t="inlineStr">
        <is>
          <t>Otros</t>
        </is>
      </c>
      <c r="G17" t="n">
        <v>9</v>
      </c>
      <c r="H17">
        <f>Configuracion!$B$2</f>
        <v/>
      </c>
      <c r="I17" s="6">
        <f>Configuracion!$B$3</f>
        <v/>
      </c>
      <c r="J17">
        <f>IF(UPPER(Configuracion!$B$2)="ON",Configuracion!$B$4,"")</f>
        <v/>
      </c>
      <c r="K17" s="5">
        <f>IF(UPPER(Configuracion!$B$2)="ON",ROUND(C17*(1-Configuracion!$B$3),0),ROUND(C17,0))</f>
        <v/>
      </c>
    </row>
    <row r="18">
      <c r="A18" t="n">
        <v>327</v>
      </c>
      <c r="B18" t="inlineStr">
        <is>
          <t>Taza termo 14 oz hibisco púrpura</t>
        </is>
      </c>
      <c r="C18" s="5" t="n">
        <v>100</v>
      </c>
      <c r="E18" t="inlineStr">
        <is>
          <t>Taza termo de 14 oz con diseño hibisco púrpura.</t>
        </is>
      </c>
      <c r="F18" t="inlineStr">
        <is>
          <t>Otros</t>
        </is>
      </c>
      <c r="G18" t="n">
        <v>8</v>
      </c>
      <c r="H18">
        <f>Configuracion!$B$2</f>
        <v/>
      </c>
      <c r="I18" s="6">
        <f>Configuracion!$B$3</f>
        <v/>
      </c>
      <c r="J18">
        <f>IF(UPPER(Configuracion!$B$2)="ON",Configuracion!$B$4,"")</f>
        <v/>
      </c>
      <c r="K18" s="5">
        <f>IF(UPPER(Configuracion!$B$2)="ON",ROUND(C18*(1-Configuracion!$B$3),0),ROUND(C18,0))</f>
        <v/>
      </c>
    </row>
    <row r="19">
      <c r="A19" t="n">
        <v>328</v>
      </c>
      <c r="B19" t="inlineStr">
        <is>
          <t>Taza termo 40 oz hibisco púrpura</t>
        </is>
      </c>
      <c r="C19" s="5" t="n">
        <v>100</v>
      </c>
      <c r="E19" t="inlineStr">
        <is>
          <t>Taza termo de 40 oz con diseño hibisco púrpura.</t>
        </is>
      </c>
      <c r="F19" t="inlineStr">
        <is>
          <t>Otros</t>
        </is>
      </c>
      <c r="G19" t="n">
        <v>4</v>
      </c>
      <c r="H19">
        <f>Configuracion!$B$2</f>
        <v/>
      </c>
      <c r="I19" s="6">
        <f>Configuracion!$B$3</f>
        <v/>
      </c>
      <c r="J19">
        <f>IF(UPPER(Configuracion!$B$2)="ON",Configuracion!$B$4,"")</f>
        <v/>
      </c>
      <c r="K19" s="5">
        <f>IF(UPPER(Configuracion!$B$2)="ON",ROUND(C19*(1-Configuracion!$B$3),0),ROUND(C19,0))</f>
        <v/>
      </c>
    </row>
    <row r="20">
      <c r="A20" t="n">
        <v>329</v>
      </c>
      <c r="B20" t="inlineStr">
        <is>
          <t>Taza termo 40 oz rosa claro</t>
        </is>
      </c>
      <c r="C20" s="5" t="n">
        <v>100</v>
      </c>
      <c r="E20" t="inlineStr">
        <is>
          <t>Taza termo de 40 oz con diseño rosa claro.</t>
        </is>
      </c>
      <c r="F20" t="inlineStr">
        <is>
          <t>Otros</t>
        </is>
      </c>
      <c r="G20" t="n">
        <v>4</v>
      </c>
      <c r="H20">
        <f>Configuracion!$B$2</f>
        <v/>
      </c>
      <c r="I20" s="6">
        <f>Configuracion!$B$3</f>
        <v/>
      </c>
      <c r="J20">
        <f>IF(UPPER(Configuracion!$B$2)="ON",Configuracion!$B$4,"")</f>
        <v/>
      </c>
      <c r="K20" s="5">
        <f>IF(UPPER(Configuracion!$B$2)="ON",ROUND(C20*(1-Configuracion!$B$3),0),ROUND(C20,0))</f>
        <v/>
      </c>
    </row>
    <row r="21">
      <c r="A21" t="n">
        <v>330</v>
      </c>
      <c r="B21" t="inlineStr">
        <is>
          <t>Taza termo 40 oz granada rosa</t>
        </is>
      </c>
      <c r="C21" s="5" t="n">
        <v>100</v>
      </c>
      <c r="E21" t="inlineStr">
        <is>
          <t>Taza termo de 40 oz con diseño granada rosa.</t>
        </is>
      </c>
      <c r="F21" t="inlineStr">
        <is>
          <t>Otros</t>
        </is>
      </c>
      <c r="G21" t="n">
        <v>4</v>
      </c>
      <c r="H21">
        <f>Configuracion!$B$2</f>
        <v/>
      </c>
      <c r="I21" s="6">
        <f>Configuracion!$B$3</f>
        <v/>
      </c>
      <c r="J21">
        <f>IF(UPPER(Configuracion!$B$2)="ON",Configuracion!$B$4,"")</f>
        <v/>
      </c>
      <c r="K21" s="5">
        <f>IF(UPPER(Configuracion!$B$2)="ON",ROUND(C21*(1-Configuracion!$B$3),0),ROUND(C21,0))</f>
        <v/>
      </c>
    </row>
    <row r="22">
      <c r="A22" t="n">
        <v>331</v>
      </c>
      <c r="B22" t="inlineStr">
        <is>
          <t>Taza termo 40 oz rosa roja</t>
        </is>
      </c>
      <c r="C22" s="5" t="n">
        <v>100</v>
      </c>
      <c r="E22" t="inlineStr">
        <is>
          <t>Taza termo de 40 oz con diseño rosa roja.</t>
        </is>
      </c>
      <c r="F22" t="inlineStr">
        <is>
          <t>Otros</t>
        </is>
      </c>
      <c r="G22" t="n">
        <v>4</v>
      </c>
      <c r="H22">
        <f>Configuracion!$B$2</f>
        <v/>
      </c>
      <c r="I22" s="6">
        <f>Configuracion!$B$3</f>
        <v/>
      </c>
      <c r="J22">
        <f>IF(UPPER(Configuracion!$B$2)="ON",Configuracion!$B$4,"")</f>
        <v/>
      </c>
      <c r="K22" s="5">
        <f>IF(UPPER(Configuracion!$B$2)="ON",ROUND(C22*(1-Configuracion!$B$3),0),ROUND(C22,0))</f>
        <v/>
      </c>
    </row>
    <row r="23">
      <c r="A23" t="n">
        <v>332</v>
      </c>
      <c r="B23" t="inlineStr">
        <is>
          <t>Taza termo 40 oz granada azul</t>
        </is>
      </c>
      <c r="C23" s="5" t="n">
        <v>100</v>
      </c>
      <c r="E23" t="inlineStr">
        <is>
          <t>Taza termo de 40 oz con diseño granada azul.</t>
        </is>
      </c>
      <c r="F23" t="inlineStr">
        <is>
          <t>Otros</t>
        </is>
      </c>
      <c r="G23" t="n">
        <v>4</v>
      </c>
      <c r="H23">
        <f>Configuracion!$B$2</f>
        <v/>
      </c>
      <c r="I23" s="6">
        <f>Configuracion!$B$3</f>
        <v/>
      </c>
      <c r="J23">
        <f>IF(UPPER(Configuracion!$B$2)="ON",Configuracion!$B$4,"")</f>
        <v/>
      </c>
      <c r="K23" s="5">
        <f>IF(UPPER(Configuracion!$B$2)="ON",ROUND(C23*(1-Configuracion!$B$3),0),ROUND(C23,0))</f>
        <v/>
      </c>
    </row>
    <row r="24">
      <c r="A24" t="n">
        <v>333</v>
      </c>
      <c r="B24" t="inlineStr">
        <is>
          <t>Taza termo 40 oz magnolia azul</t>
        </is>
      </c>
      <c r="C24" s="5" t="n">
        <v>100</v>
      </c>
      <c r="E24" t="inlineStr">
        <is>
          <t>Taza termo de 40 oz con diseño magnolia azul.</t>
        </is>
      </c>
      <c r="F24" t="inlineStr">
        <is>
          <t>Otros</t>
        </is>
      </c>
      <c r="G24" t="n">
        <v>5</v>
      </c>
      <c r="H24">
        <f>Configuracion!$B$2</f>
        <v/>
      </c>
      <c r="I24" s="6">
        <f>Configuracion!$B$3</f>
        <v/>
      </c>
      <c r="J24">
        <f>IF(UPPER(Configuracion!$B$2)="ON",Configuracion!$B$4,"")</f>
        <v/>
      </c>
      <c r="K24" s="5">
        <f>IF(UPPER(Configuracion!$B$2)="ON",ROUND(C24*(1-Configuracion!$B$3),0),ROUND(C24,0))</f>
        <v/>
      </c>
    </row>
    <row r="25">
      <c r="A25" t="n">
        <v>334</v>
      </c>
      <c r="B25" t="inlineStr">
        <is>
          <t>Taza termo VOGE rosada</t>
        </is>
      </c>
      <c r="C25" s="5" t="n">
        <v>100</v>
      </c>
      <c r="E25" t="inlineStr">
        <is>
          <t>Taza termo VOGE en color rosado.</t>
        </is>
      </c>
      <c r="F25" t="inlineStr">
        <is>
          <t>Otros</t>
        </is>
      </c>
      <c r="G25" t="n">
        <v>10</v>
      </c>
      <c r="H25">
        <f>Configuracion!$B$2</f>
        <v/>
      </c>
      <c r="I25" s="6">
        <f>Configuracion!$B$3</f>
        <v/>
      </c>
      <c r="J25">
        <f>IF(UPPER(Configuracion!$B$2)="ON",Configuracion!$B$4,"")</f>
        <v/>
      </c>
      <c r="K25" s="5">
        <f>IF(UPPER(Configuracion!$B$2)="ON",ROUND(C25*(1-Configuracion!$B$3),0),ROUND(C25,0))</f>
        <v/>
      </c>
    </row>
    <row r="26">
      <c r="A26" t="n">
        <v>335</v>
      </c>
      <c r="B26" t="inlineStr">
        <is>
          <t>Taza termo VOGE negra</t>
        </is>
      </c>
      <c r="C26" s="5" t="n">
        <v>100</v>
      </c>
      <c r="E26" t="inlineStr">
        <is>
          <t>Taza termo VOGE en color negro.</t>
        </is>
      </c>
      <c r="F26" t="inlineStr">
        <is>
          <t>Otros</t>
        </is>
      </c>
      <c r="G26" t="n">
        <v>10</v>
      </c>
      <c r="H26">
        <f>Configuracion!$B$2</f>
        <v/>
      </c>
      <c r="I26" s="6">
        <f>Configuracion!$B$3</f>
        <v/>
      </c>
      <c r="J26">
        <f>IF(UPPER(Configuracion!$B$2)="ON",Configuracion!$B$4,"")</f>
        <v/>
      </c>
      <c r="K26" s="5">
        <f>IF(UPPER(Configuracion!$B$2)="ON",ROUND(C26*(1-Configuracion!$B$3),0),ROUND(C26,0))</f>
        <v/>
      </c>
    </row>
    <row r="27">
      <c r="A27" t="n">
        <v>336</v>
      </c>
      <c r="B27" t="inlineStr">
        <is>
          <t>Taza termo VOGE blanca</t>
        </is>
      </c>
      <c r="C27" s="5" t="n">
        <v>100</v>
      </c>
      <c r="E27" t="inlineStr">
        <is>
          <t>Taza termo VOGE en color blanco.</t>
        </is>
      </c>
      <c r="F27" t="inlineStr">
        <is>
          <t>Otros</t>
        </is>
      </c>
      <c r="G27" t="n">
        <v>10</v>
      </c>
      <c r="H27">
        <f>Configuracion!$B$2</f>
        <v/>
      </c>
      <c r="I27" s="6">
        <f>Configuracion!$B$3</f>
        <v/>
      </c>
      <c r="J27">
        <f>IF(UPPER(Configuracion!$B$2)="ON",Configuracion!$B$4,"")</f>
        <v/>
      </c>
      <c r="K27" s="5">
        <f>IF(UPPER(Configuracion!$B$2)="ON",ROUND(C27*(1-Configuracion!$B$3),0),ROUND(C27,0))</f>
        <v/>
      </c>
    </row>
    <row r="28">
      <c r="A28" t="n">
        <v>337</v>
      </c>
      <c r="B28" t="inlineStr">
        <is>
          <t>Licuadora portátil rosa doble vaso</t>
        </is>
      </c>
      <c r="C28" s="5" t="n">
        <v>100</v>
      </c>
      <c r="E28" t="inlineStr">
        <is>
          <t>Licuadora portátil recargable en color rosa, 6 cuchillas y doble vaso.</t>
        </is>
      </c>
      <c r="F28" t="inlineStr">
        <is>
          <t>Otros</t>
        </is>
      </c>
      <c r="G28" t="n">
        <v>30</v>
      </c>
      <c r="H28">
        <f>Configuracion!$B$2</f>
        <v/>
      </c>
      <c r="I28" s="6">
        <f>Configuracion!$B$3</f>
        <v/>
      </c>
      <c r="J28">
        <f>IF(UPPER(Configuracion!$B$2)="ON",Configuracion!$B$4,"")</f>
        <v/>
      </c>
      <c r="K28" s="5">
        <f>IF(UPPER(Configuracion!$B$2)="ON",ROUND(C28*(1-Configuracion!$B$3),0),ROUND(C28,0))</f>
        <v/>
      </c>
    </row>
    <row r="29">
      <c r="A29" t="n">
        <v>338</v>
      </c>
      <c r="B29" t="inlineStr">
        <is>
          <t>Licuadora portátil negra doble vaso</t>
        </is>
      </c>
      <c r="C29" s="5" t="n">
        <v>100</v>
      </c>
      <c r="E29" t="inlineStr">
        <is>
          <t>Licuadora portátil recargable en color negro, 6 cuchillas y doble vaso.</t>
        </is>
      </c>
      <c r="F29" t="inlineStr">
        <is>
          <t>Otros</t>
        </is>
      </c>
      <c r="G29" t="n">
        <v>30</v>
      </c>
      <c r="H29">
        <f>Configuracion!$B$2</f>
        <v/>
      </c>
      <c r="I29" s="6">
        <f>Configuracion!$B$3</f>
        <v/>
      </c>
      <c r="J29">
        <f>IF(UPPER(Configuracion!$B$2)="ON",Configuracion!$B$4,"")</f>
        <v/>
      </c>
      <c r="K29" s="5">
        <f>IF(UPPER(Configuracion!$B$2)="ON",ROUND(C29*(1-Configuracion!$B$3),0),ROUND(C29,0))</f>
        <v/>
      </c>
    </row>
    <row r="30">
      <c r="A30" t="n">
        <v>339</v>
      </c>
      <c r="B30" t="inlineStr">
        <is>
          <t>Licuadora + tomatodo 350 ml</t>
        </is>
      </c>
      <c r="C30" s="5" t="n">
        <v>100</v>
      </c>
      <c r="E30" t="inlineStr">
        <is>
          <t>Licuadora portátil de 350 ml tipo tomatodo con doble batería.</t>
        </is>
      </c>
      <c r="F30" t="inlineStr">
        <is>
          <t>Otros</t>
        </is>
      </c>
      <c r="G30" t="n">
        <v>24</v>
      </c>
      <c r="H30">
        <f>Configuracion!$B$2</f>
        <v/>
      </c>
      <c r="I30" s="6">
        <f>Configuracion!$B$3</f>
        <v/>
      </c>
      <c r="J30">
        <f>IF(UPPER(Configuracion!$B$2)="ON",Configuracion!$B$4,"")</f>
        <v/>
      </c>
      <c r="K30" s="5">
        <f>IF(UPPER(Configuracion!$B$2)="ON",ROUND(C30*(1-Configuracion!$B$3),0),ROUND(C30,0))</f>
        <v/>
      </c>
    </row>
    <row r="31">
      <c r="A31" t="n">
        <v>340</v>
      </c>
      <c r="B31" t="inlineStr">
        <is>
          <t>Vaso Tea Princess blanco 500 ml</t>
        </is>
      </c>
      <c r="C31" s="5" t="n">
        <v>100</v>
      </c>
      <c r="E31" t="inlineStr">
        <is>
          <t>Vaso de 500 ml en acero inoxidable 316, color blanco.</t>
        </is>
      </c>
      <c r="F31" t="inlineStr">
        <is>
          <t>Otros</t>
        </is>
      </c>
      <c r="G31" t="n">
        <v>10</v>
      </c>
      <c r="H31">
        <f>Configuracion!$B$2</f>
        <v/>
      </c>
      <c r="I31" s="6">
        <f>Configuracion!$B$3</f>
        <v/>
      </c>
      <c r="J31">
        <f>IF(UPPER(Configuracion!$B$2)="ON",Configuracion!$B$4,"")</f>
        <v/>
      </c>
      <c r="K31" s="5">
        <f>IF(UPPER(Configuracion!$B$2)="ON",ROUND(C31*(1-Configuracion!$B$3),0),ROUND(C31,0))</f>
        <v/>
      </c>
    </row>
    <row r="32">
      <c r="A32" t="n">
        <v>341</v>
      </c>
      <c r="B32" t="inlineStr">
        <is>
          <t>Vaso Flower Language blanco 500 ml</t>
        </is>
      </c>
      <c r="C32" s="5" t="n">
        <v>100</v>
      </c>
      <c r="E32" t="inlineStr">
        <is>
          <t>Vaso de 500 ml en acero inoxidable 316, color blanco.</t>
        </is>
      </c>
      <c r="F32" t="inlineStr">
        <is>
          <t>Otros</t>
        </is>
      </c>
      <c r="G32" t="n">
        <v>10</v>
      </c>
      <c r="H32">
        <f>Configuracion!$B$2</f>
        <v/>
      </c>
      <c r="I32" s="6">
        <f>Configuracion!$B$3</f>
        <v/>
      </c>
      <c r="J32">
        <f>IF(UPPER(Configuracion!$B$2)="ON",Configuracion!$B$4,"")</f>
        <v/>
      </c>
      <c r="K32" s="5">
        <f>IF(UPPER(Configuracion!$B$2)="ON",ROUND(C32*(1-Configuracion!$B$3),0),ROUND(C32,0))</f>
        <v/>
      </c>
    </row>
    <row r="33">
      <c r="A33" t="n">
        <v>342</v>
      </c>
      <c r="B33" t="inlineStr">
        <is>
          <t>Vaso Flower Language negro 500 ml</t>
        </is>
      </c>
      <c r="C33" s="5" t="n">
        <v>100</v>
      </c>
      <c r="E33" t="inlineStr">
        <is>
          <t>Vaso de 500 ml en acero inoxidable 316, color negro.</t>
        </is>
      </c>
      <c r="F33" t="inlineStr">
        <is>
          <t>Otros</t>
        </is>
      </c>
      <c r="G33" t="n">
        <v>10</v>
      </c>
      <c r="H33">
        <f>Configuracion!$B$2</f>
        <v/>
      </c>
      <c r="I33" s="6">
        <f>Configuracion!$B$3</f>
        <v/>
      </c>
      <c r="J33">
        <f>IF(UPPER(Configuracion!$B$2)="ON",Configuracion!$B$4,"")</f>
        <v/>
      </c>
      <c r="K33" s="5">
        <f>IF(UPPER(Configuracion!$B$2)="ON",ROUND(C33*(1-Configuracion!$B$3),0),ROUND(C33,0))</f>
        <v/>
      </c>
    </row>
    <row r="34">
      <c r="A34" t="n">
        <v>343</v>
      </c>
      <c r="B34" t="inlineStr">
        <is>
          <t>Vaso flor de cerezo blanco 500 ml</t>
        </is>
      </c>
      <c r="C34" s="5" t="n">
        <v>100</v>
      </c>
      <c r="E34" t="inlineStr">
        <is>
          <t>Vaso de 500 ml en acero inoxidable 316 con diseño flor de cerezo blanco.</t>
        </is>
      </c>
      <c r="F34" t="inlineStr">
        <is>
          <t>Otros</t>
        </is>
      </c>
      <c r="G34" t="n">
        <v>10</v>
      </c>
      <c r="H34">
        <f>Configuracion!$B$2</f>
        <v/>
      </c>
      <c r="I34" s="6">
        <f>Configuracion!$B$3</f>
        <v/>
      </c>
      <c r="J34">
        <f>IF(UPPER(Configuracion!$B$2)="ON",Configuracion!$B$4,"")</f>
        <v/>
      </c>
      <c r="K34" s="5">
        <f>IF(UPPER(Configuracion!$B$2)="ON",ROUND(C34*(1-Configuracion!$B$3),0),ROUND(C34,0))</f>
        <v/>
      </c>
    </row>
    <row r="35">
      <c r="A35" t="n">
        <v>344</v>
      </c>
      <c r="B35" t="inlineStr">
        <is>
          <t>Vaso Tea Princess negro 500 ml</t>
        </is>
      </c>
      <c r="C35" s="5" t="n">
        <v>100</v>
      </c>
      <c r="E35" t="inlineStr">
        <is>
          <t>Vaso de 500 ml en acero inoxidable 316, color negro.</t>
        </is>
      </c>
      <c r="F35" t="inlineStr">
        <is>
          <t>Otros</t>
        </is>
      </c>
      <c r="G35" t="n">
        <v>10</v>
      </c>
      <c r="H35">
        <f>Configuracion!$B$2</f>
        <v/>
      </c>
      <c r="I35" s="6">
        <f>Configuracion!$B$3</f>
        <v/>
      </c>
      <c r="J35">
        <f>IF(UPPER(Configuracion!$B$2)="ON",Configuracion!$B$4,"")</f>
        <v/>
      </c>
      <c r="K35" s="5">
        <f>IF(UPPER(Configuracion!$B$2)="ON",ROUND(C35*(1-Configuracion!$B$3),0),ROUND(C35,0))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2026-03-27T02:03:23Z</dcterms:created>
  <dcterms:modified xmlns:dcterms="http://purl.org/dc/terms/" xmlns:xsi="http://www.w3.org/2001/XMLSchema-instance" xsi:type="dcterms:W3CDTF">2026-03-27T02:03:23Z</dcterms:modified>
  <cp:lastModifiedBy>Franz Pablo Antezana Lopez</cp:lastModifiedBy>
</cp:coreProperties>
</file>