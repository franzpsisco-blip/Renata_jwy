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FC84D97-8DC3-41D9-988C-73A068E7016A}" xr6:coauthVersionLast="47" xr6:coauthVersionMax="47" xr10:uidLastSave="{00000000-0000-0000-0000-000000000000}"/>
  <bookViews>
    <workbookView xWindow="1140" yWindow="1140" windowWidth="21840" windowHeight="13970" xr2:uid="{00000000-000D-0000-FFFF-FFFF00000000}"/>
  </bookViews>
  <sheets>
    <sheet name="Inventario" sheetId="1" r:id="rId1"/>
    <sheet name="Configuracion" sheetId="2" r:id="rId2"/>
    <sheet name="Otr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3" l="1"/>
  <c r="J35" i="3"/>
  <c r="I35" i="3"/>
  <c r="H35" i="3"/>
  <c r="K34" i="3"/>
  <c r="J34" i="3"/>
  <c r="I34" i="3"/>
  <c r="H34" i="3"/>
  <c r="K33" i="3"/>
  <c r="J33" i="3"/>
  <c r="I33" i="3"/>
  <c r="H33" i="3"/>
  <c r="K32" i="3"/>
  <c r="J32" i="3"/>
  <c r="I32" i="3"/>
  <c r="H32" i="3"/>
  <c r="K31" i="3"/>
  <c r="J31" i="3"/>
  <c r="I31" i="3"/>
  <c r="H31" i="3"/>
  <c r="K30" i="3"/>
  <c r="J30" i="3"/>
  <c r="I30" i="3"/>
  <c r="H30" i="3"/>
  <c r="K29" i="3"/>
  <c r="J29" i="3"/>
  <c r="I29" i="3"/>
  <c r="H29" i="3"/>
  <c r="K28" i="3"/>
  <c r="J28" i="3"/>
  <c r="I28" i="3"/>
  <c r="H28" i="3"/>
  <c r="K27" i="3"/>
  <c r="J27" i="3"/>
  <c r="I27" i="3"/>
  <c r="H27" i="3"/>
  <c r="K26" i="3"/>
  <c r="J26" i="3"/>
  <c r="I26" i="3"/>
  <c r="H26" i="3"/>
  <c r="K25" i="3"/>
  <c r="J25" i="3"/>
  <c r="I25" i="3"/>
  <c r="H25" i="3"/>
  <c r="K24" i="3"/>
  <c r="J24" i="3"/>
  <c r="I24" i="3"/>
  <c r="H24" i="3"/>
  <c r="K23" i="3"/>
  <c r="J23" i="3"/>
  <c r="I23" i="3"/>
  <c r="H23" i="3"/>
  <c r="K22" i="3"/>
  <c r="J22" i="3"/>
  <c r="I22" i="3"/>
  <c r="H22" i="3"/>
  <c r="K21" i="3"/>
  <c r="J21" i="3"/>
  <c r="I21" i="3"/>
  <c r="H21" i="3"/>
  <c r="K20" i="3"/>
  <c r="J20" i="3"/>
  <c r="I20" i="3"/>
  <c r="H20" i="3"/>
  <c r="K19" i="3"/>
  <c r="J19" i="3"/>
  <c r="I19" i="3"/>
  <c r="H19" i="3"/>
  <c r="K18" i="3"/>
  <c r="J18" i="3"/>
  <c r="I18" i="3"/>
  <c r="H18" i="3"/>
  <c r="K17" i="3"/>
  <c r="J17" i="3"/>
  <c r="I17" i="3"/>
  <c r="H17" i="3"/>
  <c r="K16" i="3"/>
  <c r="J16" i="3"/>
  <c r="I16" i="3"/>
  <c r="H16" i="3"/>
  <c r="K15" i="3"/>
  <c r="J15" i="3"/>
  <c r="I15" i="3"/>
  <c r="H15" i="3"/>
  <c r="K14" i="3"/>
  <c r="J14" i="3"/>
  <c r="I14" i="3"/>
  <c r="H14" i="3"/>
  <c r="K13" i="3"/>
  <c r="J13" i="3"/>
  <c r="I13" i="3"/>
  <c r="H13" i="3"/>
  <c r="K12" i="3"/>
  <c r="J12" i="3"/>
  <c r="I12" i="3"/>
  <c r="H12" i="3"/>
  <c r="K11" i="3"/>
  <c r="J11" i="3"/>
  <c r="I11" i="3"/>
  <c r="H11" i="3"/>
  <c r="K10" i="3"/>
  <c r="J10" i="3"/>
  <c r="I10" i="3"/>
  <c r="H10" i="3"/>
  <c r="K9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K5" i="3"/>
  <c r="J5" i="3"/>
  <c r="I5" i="3"/>
  <c r="H5" i="3"/>
  <c r="K4" i="3"/>
  <c r="J4" i="3"/>
  <c r="I4" i="3"/>
  <c r="H4" i="3"/>
  <c r="K3" i="3"/>
  <c r="J3" i="3"/>
  <c r="I3" i="3"/>
  <c r="H3" i="3"/>
  <c r="K2" i="3"/>
  <c r="J2" i="3"/>
  <c r="I2" i="3"/>
  <c r="H2" i="3"/>
  <c r="K345" i="1"/>
  <c r="J345" i="1"/>
  <c r="I345" i="1"/>
  <c r="H345" i="1"/>
  <c r="K344" i="1"/>
  <c r="J344" i="1"/>
  <c r="I344" i="1"/>
  <c r="H344" i="1"/>
  <c r="K343" i="1"/>
  <c r="J343" i="1"/>
  <c r="I343" i="1"/>
  <c r="H343" i="1"/>
  <c r="K342" i="1"/>
  <c r="J342" i="1"/>
  <c r="I342" i="1"/>
  <c r="H342" i="1"/>
  <c r="K341" i="1"/>
  <c r="J341" i="1"/>
  <c r="I341" i="1"/>
  <c r="H341" i="1"/>
  <c r="K340" i="1"/>
  <c r="J340" i="1"/>
  <c r="I340" i="1"/>
  <c r="H340" i="1"/>
  <c r="K339" i="1"/>
  <c r="J339" i="1"/>
  <c r="I339" i="1"/>
  <c r="H339" i="1"/>
  <c r="K338" i="1"/>
  <c r="J338" i="1"/>
  <c r="I338" i="1"/>
  <c r="H338" i="1"/>
  <c r="K337" i="1"/>
  <c r="J337" i="1"/>
  <c r="I337" i="1"/>
  <c r="H337" i="1"/>
  <c r="K336" i="1"/>
  <c r="J336" i="1"/>
  <c r="I336" i="1"/>
  <c r="H336" i="1"/>
  <c r="K335" i="1"/>
  <c r="J335" i="1"/>
  <c r="I335" i="1"/>
  <c r="H335" i="1"/>
  <c r="K334" i="1"/>
  <c r="J334" i="1"/>
  <c r="I334" i="1"/>
  <c r="H334" i="1"/>
  <c r="K333" i="1"/>
  <c r="J333" i="1"/>
  <c r="I333" i="1"/>
  <c r="H333" i="1"/>
  <c r="K332" i="1"/>
  <c r="J332" i="1"/>
  <c r="I332" i="1"/>
  <c r="H332" i="1"/>
  <c r="K331" i="1"/>
  <c r="J331" i="1"/>
  <c r="I331" i="1"/>
  <c r="H331" i="1"/>
  <c r="K330" i="1"/>
  <c r="J330" i="1"/>
  <c r="I330" i="1"/>
  <c r="H330" i="1"/>
  <c r="K329" i="1"/>
  <c r="J329" i="1"/>
  <c r="I329" i="1"/>
  <c r="H329" i="1"/>
  <c r="K328" i="1"/>
  <c r="J328" i="1"/>
  <c r="I328" i="1"/>
  <c r="H328" i="1"/>
  <c r="K327" i="1"/>
  <c r="J327" i="1"/>
  <c r="I327" i="1"/>
  <c r="H327" i="1"/>
  <c r="K326" i="1"/>
  <c r="J326" i="1"/>
  <c r="I326" i="1"/>
  <c r="H326" i="1"/>
  <c r="K325" i="1"/>
  <c r="J325" i="1"/>
  <c r="I325" i="1"/>
  <c r="H325" i="1"/>
  <c r="K324" i="1"/>
  <c r="J324" i="1"/>
  <c r="I324" i="1"/>
  <c r="H324" i="1"/>
  <c r="K323" i="1"/>
  <c r="J323" i="1"/>
  <c r="I323" i="1"/>
  <c r="H323" i="1"/>
  <c r="K322" i="1"/>
  <c r="J322" i="1"/>
  <c r="I322" i="1"/>
  <c r="H322" i="1"/>
  <c r="K321" i="1"/>
  <c r="J321" i="1"/>
  <c r="I321" i="1"/>
  <c r="H321" i="1"/>
  <c r="K320" i="1"/>
  <c r="J320" i="1"/>
  <c r="I320" i="1"/>
  <c r="H320" i="1"/>
  <c r="K319" i="1"/>
  <c r="J319" i="1"/>
  <c r="I319" i="1"/>
  <c r="H319" i="1"/>
  <c r="K318" i="1"/>
  <c r="J318" i="1"/>
  <c r="I318" i="1"/>
  <c r="H318" i="1"/>
  <c r="K317" i="1"/>
  <c r="J317" i="1"/>
  <c r="I317" i="1"/>
  <c r="H317" i="1"/>
  <c r="K316" i="1"/>
  <c r="J316" i="1"/>
  <c r="I316" i="1"/>
  <c r="H316" i="1"/>
  <c r="K315" i="1"/>
  <c r="J315" i="1"/>
  <c r="I315" i="1"/>
  <c r="H315" i="1"/>
  <c r="K314" i="1"/>
  <c r="J314" i="1"/>
  <c r="I314" i="1"/>
  <c r="H314" i="1"/>
  <c r="K313" i="1"/>
  <c r="J313" i="1"/>
  <c r="I313" i="1"/>
  <c r="H313" i="1"/>
  <c r="K312" i="1"/>
  <c r="J312" i="1"/>
  <c r="I312" i="1"/>
  <c r="H312" i="1"/>
  <c r="K311" i="1"/>
  <c r="J311" i="1"/>
  <c r="I311" i="1"/>
  <c r="H311" i="1"/>
  <c r="K310" i="1"/>
  <c r="J310" i="1"/>
  <c r="I310" i="1"/>
  <c r="H310" i="1"/>
  <c r="K309" i="1"/>
  <c r="J309" i="1"/>
  <c r="I309" i="1"/>
  <c r="H309" i="1"/>
  <c r="K308" i="1"/>
  <c r="J308" i="1"/>
  <c r="I308" i="1"/>
  <c r="H308" i="1"/>
  <c r="K307" i="1"/>
  <c r="J307" i="1"/>
  <c r="I307" i="1"/>
  <c r="H307" i="1"/>
  <c r="K306" i="1"/>
  <c r="J306" i="1"/>
  <c r="I306" i="1"/>
  <c r="H306" i="1"/>
  <c r="K305" i="1"/>
  <c r="J305" i="1"/>
  <c r="I305" i="1"/>
  <c r="H305" i="1"/>
  <c r="K304" i="1"/>
  <c r="J304" i="1"/>
  <c r="I304" i="1"/>
  <c r="H304" i="1"/>
  <c r="K303" i="1"/>
  <c r="J303" i="1"/>
  <c r="I303" i="1"/>
  <c r="H303" i="1"/>
  <c r="K302" i="1"/>
  <c r="J302" i="1"/>
  <c r="I302" i="1"/>
  <c r="H302" i="1"/>
  <c r="K301" i="1"/>
  <c r="J301" i="1"/>
  <c r="I301" i="1"/>
  <c r="H301" i="1"/>
  <c r="K300" i="1"/>
  <c r="J300" i="1"/>
  <c r="I300" i="1"/>
  <c r="H300" i="1"/>
  <c r="K299" i="1"/>
  <c r="J299" i="1"/>
  <c r="I299" i="1"/>
  <c r="H299" i="1"/>
  <c r="K298" i="1"/>
  <c r="J298" i="1"/>
  <c r="I298" i="1"/>
  <c r="H298" i="1"/>
  <c r="K297" i="1"/>
  <c r="J297" i="1"/>
  <c r="I297" i="1"/>
  <c r="H297" i="1"/>
  <c r="K296" i="1"/>
  <c r="J296" i="1"/>
  <c r="I296" i="1"/>
  <c r="H296" i="1"/>
  <c r="K295" i="1"/>
  <c r="J295" i="1"/>
  <c r="I295" i="1"/>
  <c r="H295" i="1"/>
  <c r="K294" i="1"/>
  <c r="J294" i="1"/>
  <c r="I294" i="1"/>
  <c r="H294" i="1"/>
  <c r="K293" i="1"/>
  <c r="J293" i="1"/>
  <c r="I293" i="1"/>
  <c r="H293" i="1"/>
  <c r="K292" i="1"/>
  <c r="J292" i="1"/>
  <c r="I292" i="1"/>
  <c r="H292" i="1"/>
  <c r="K291" i="1"/>
  <c r="J291" i="1"/>
  <c r="I291" i="1"/>
  <c r="H291" i="1"/>
  <c r="K290" i="1"/>
  <c r="J290" i="1"/>
  <c r="I290" i="1"/>
  <c r="H290" i="1"/>
  <c r="K289" i="1"/>
  <c r="J289" i="1"/>
  <c r="I289" i="1"/>
  <c r="H289" i="1"/>
  <c r="K288" i="1"/>
  <c r="J288" i="1"/>
  <c r="I288" i="1"/>
  <c r="H288" i="1"/>
  <c r="K287" i="1"/>
  <c r="J287" i="1"/>
  <c r="I287" i="1"/>
  <c r="H287" i="1"/>
  <c r="K286" i="1"/>
  <c r="J286" i="1"/>
  <c r="I286" i="1"/>
  <c r="H286" i="1"/>
  <c r="K285" i="1"/>
  <c r="J285" i="1"/>
  <c r="I285" i="1"/>
  <c r="H285" i="1"/>
  <c r="K284" i="1"/>
  <c r="J284" i="1"/>
  <c r="I284" i="1"/>
  <c r="H284" i="1"/>
  <c r="K283" i="1"/>
  <c r="J283" i="1"/>
  <c r="I283" i="1"/>
  <c r="H283" i="1"/>
  <c r="K282" i="1"/>
  <c r="J282" i="1"/>
  <c r="I282" i="1"/>
  <c r="H282" i="1"/>
  <c r="K281" i="1"/>
  <c r="J281" i="1"/>
  <c r="I281" i="1"/>
  <c r="H281" i="1"/>
  <c r="K280" i="1"/>
  <c r="J280" i="1"/>
  <c r="I280" i="1"/>
  <c r="H280" i="1"/>
  <c r="K279" i="1"/>
  <c r="J279" i="1"/>
  <c r="I279" i="1"/>
  <c r="H279" i="1"/>
  <c r="K278" i="1"/>
  <c r="J278" i="1"/>
  <c r="I278" i="1"/>
  <c r="H278" i="1"/>
  <c r="K277" i="1"/>
  <c r="J277" i="1"/>
  <c r="I277" i="1"/>
  <c r="H277" i="1"/>
  <c r="K276" i="1"/>
  <c r="J276" i="1"/>
  <c r="I276" i="1"/>
  <c r="H276" i="1"/>
  <c r="K275" i="1"/>
  <c r="J275" i="1"/>
  <c r="I275" i="1"/>
  <c r="H275" i="1"/>
  <c r="K274" i="1"/>
  <c r="J274" i="1"/>
  <c r="I274" i="1"/>
  <c r="H274" i="1"/>
  <c r="K273" i="1"/>
  <c r="J273" i="1"/>
  <c r="I273" i="1"/>
  <c r="H273" i="1"/>
  <c r="K272" i="1"/>
  <c r="J272" i="1"/>
  <c r="I272" i="1"/>
  <c r="H272" i="1"/>
  <c r="K271" i="1"/>
  <c r="J271" i="1"/>
  <c r="I271" i="1"/>
  <c r="H271" i="1"/>
  <c r="K270" i="1"/>
  <c r="J270" i="1"/>
  <c r="I270" i="1"/>
  <c r="H270" i="1"/>
  <c r="K269" i="1"/>
  <c r="J269" i="1"/>
  <c r="I269" i="1"/>
  <c r="H269" i="1"/>
  <c r="K268" i="1"/>
  <c r="J268" i="1"/>
  <c r="I268" i="1"/>
  <c r="H268" i="1"/>
  <c r="K267" i="1"/>
  <c r="J267" i="1"/>
  <c r="I267" i="1"/>
  <c r="H267" i="1"/>
  <c r="K266" i="1"/>
  <c r="J266" i="1"/>
  <c r="I266" i="1"/>
  <c r="H266" i="1"/>
  <c r="K265" i="1"/>
  <c r="J265" i="1"/>
  <c r="I265" i="1"/>
  <c r="H265" i="1"/>
  <c r="K264" i="1"/>
  <c r="J264" i="1"/>
  <c r="I264" i="1"/>
  <c r="H264" i="1"/>
  <c r="K263" i="1"/>
  <c r="J263" i="1"/>
  <c r="I263" i="1"/>
  <c r="H263" i="1"/>
  <c r="K262" i="1"/>
  <c r="J262" i="1"/>
  <c r="I262" i="1"/>
  <c r="H262" i="1"/>
  <c r="K261" i="1"/>
  <c r="J261" i="1"/>
  <c r="I261" i="1"/>
  <c r="H261" i="1"/>
  <c r="K260" i="1"/>
  <c r="J260" i="1"/>
  <c r="I260" i="1"/>
  <c r="H260" i="1"/>
  <c r="K259" i="1"/>
  <c r="J259" i="1"/>
  <c r="I259" i="1"/>
  <c r="H259" i="1"/>
  <c r="K258" i="1"/>
  <c r="J258" i="1"/>
  <c r="I258" i="1"/>
  <c r="H258" i="1"/>
  <c r="K257" i="1"/>
  <c r="J257" i="1"/>
  <c r="I257" i="1"/>
  <c r="H257" i="1"/>
  <c r="K256" i="1"/>
  <c r="J256" i="1"/>
  <c r="I256" i="1"/>
  <c r="H256" i="1"/>
  <c r="K255" i="1"/>
  <c r="J255" i="1"/>
  <c r="I255" i="1"/>
  <c r="H255" i="1"/>
  <c r="K254" i="1"/>
  <c r="J254" i="1"/>
  <c r="I254" i="1"/>
  <c r="H254" i="1"/>
  <c r="K253" i="1"/>
  <c r="J253" i="1"/>
  <c r="I253" i="1"/>
  <c r="H253" i="1"/>
  <c r="K252" i="1"/>
  <c r="J252" i="1"/>
  <c r="I252" i="1"/>
  <c r="H252" i="1"/>
  <c r="K251" i="1"/>
  <c r="J251" i="1"/>
  <c r="I251" i="1"/>
  <c r="H251" i="1"/>
  <c r="K250" i="1"/>
  <c r="J250" i="1"/>
  <c r="I250" i="1"/>
  <c r="H250" i="1"/>
  <c r="K249" i="1"/>
  <c r="J249" i="1"/>
  <c r="I249" i="1"/>
  <c r="H249" i="1"/>
  <c r="K248" i="1"/>
  <c r="J248" i="1"/>
  <c r="I248" i="1"/>
  <c r="H248" i="1"/>
  <c r="K247" i="1"/>
  <c r="J247" i="1"/>
  <c r="I247" i="1"/>
  <c r="H247" i="1"/>
  <c r="K246" i="1"/>
  <c r="J246" i="1"/>
  <c r="I246" i="1"/>
  <c r="H246" i="1"/>
  <c r="K245" i="1"/>
  <c r="J245" i="1"/>
  <c r="I245" i="1"/>
  <c r="H245" i="1"/>
  <c r="K244" i="1"/>
  <c r="J244" i="1"/>
  <c r="I244" i="1"/>
  <c r="H244" i="1"/>
  <c r="K243" i="1"/>
  <c r="J243" i="1"/>
  <c r="I243" i="1"/>
  <c r="H243" i="1"/>
  <c r="K242" i="1"/>
  <c r="J242" i="1"/>
  <c r="I242" i="1"/>
  <c r="H242" i="1"/>
  <c r="K241" i="1"/>
  <c r="J241" i="1"/>
  <c r="I241" i="1"/>
  <c r="H241" i="1"/>
  <c r="K240" i="1"/>
  <c r="J240" i="1"/>
  <c r="I240" i="1"/>
  <c r="H240" i="1"/>
  <c r="K239" i="1"/>
  <c r="J239" i="1"/>
  <c r="I239" i="1"/>
  <c r="H239" i="1"/>
  <c r="K238" i="1"/>
  <c r="J238" i="1"/>
  <c r="I238" i="1"/>
  <c r="H238" i="1"/>
  <c r="K237" i="1"/>
  <c r="J237" i="1"/>
  <c r="I237" i="1"/>
  <c r="H237" i="1"/>
  <c r="K236" i="1"/>
  <c r="J236" i="1"/>
  <c r="I236" i="1"/>
  <c r="H236" i="1"/>
  <c r="K235" i="1"/>
  <c r="J235" i="1"/>
  <c r="I235" i="1"/>
  <c r="H235" i="1"/>
  <c r="K234" i="1"/>
  <c r="J234" i="1"/>
  <c r="I234" i="1"/>
  <c r="H234" i="1"/>
  <c r="K233" i="1"/>
  <c r="J233" i="1"/>
  <c r="I233" i="1"/>
  <c r="H233" i="1"/>
  <c r="K232" i="1"/>
  <c r="J232" i="1"/>
  <c r="I232" i="1"/>
  <c r="H232" i="1"/>
  <c r="K231" i="1"/>
  <c r="J231" i="1"/>
  <c r="I231" i="1"/>
  <c r="H231" i="1"/>
  <c r="K230" i="1"/>
  <c r="J230" i="1"/>
  <c r="I230" i="1"/>
  <c r="H230" i="1"/>
  <c r="K229" i="1"/>
  <c r="J229" i="1"/>
  <c r="I229" i="1"/>
  <c r="H229" i="1"/>
  <c r="K228" i="1"/>
  <c r="J228" i="1"/>
  <c r="I228" i="1"/>
  <c r="H228" i="1"/>
  <c r="K227" i="1"/>
  <c r="J227" i="1"/>
  <c r="I227" i="1"/>
  <c r="H227" i="1"/>
  <c r="K226" i="1"/>
  <c r="J226" i="1"/>
  <c r="I226" i="1"/>
  <c r="H226" i="1"/>
  <c r="K225" i="1"/>
  <c r="J225" i="1"/>
  <c r="I225" i="1"/>
  <c r="H225" i="1"/>
  <c r="K224" i="1"/>
  <c r="J224" i="1"/>
  <c r="I224" i="1"/>
  <c r="H224" i="1"/>
  <c r="K223" i="1"/>
  <c r="J223" i="1"/>
  <c r="I223" i="1"/>
  <c r="H223" i="1"/>
  <c r="K222" i="1"/>
  <c r="J222" i="1"/>
  <c r="I222" i="1"/>
  <c r="H222" i="1"/>
  <c r="K221" i="1"/>
  <c r="J221" i="1"/>
  <c r="I221" i="1"/>
  <c r="H221" i="1"/>
  <c r="K220" i="1"/>
  <c r="J220" i="1"/>
  <c r="I220" i="1"/>
  <c r="H220" i="1"/>
  <c r="K219" i="1"/>
  <c r="J219" i="1"/>
  <c r="I219" i="1"/>
  <c r="H219" i="1"/>
  <c r="K218" i="1"/>
  <c r="J218" i="1"/>
  <c r="I218" i="1"/>
  <c r="H218" i="1"/>
  <c r="K217" i="1"/>
  <c r="J217" i="1"/>
  <c r="I217" i="1"/>
  <c r="H217" i="1"/>
  <c r="K216" i="1"/>
  <c r="J216" i="1"/>
  <c r="I216" i="1"/>
  <c r="H216" i="1"/>
  <c r="K215" i="1"/>
  <c r="J215" i="1"/>
  <c r="I215" i="1"/>
  <c r="H215" i="1"/>
  <c r="K214" i="1"/>
  <c r="J214" i="1"/>
  <c r="I214" i="1"/>
  <c r="H214" i="1"/>
  <c r="K213" i="1"/>
  <c r="J213" i="1"/>
  <c r="I213" i="1"/>
  <c r="H213" i="1"/>
  <c r="K212" i="1"/>
  <c r="J212" i="1"/>
  <c r="I212" i="1"/>
  <c r="H212" i="1"/>
  <c r="K211" i="1"/>
  <c r="J211" i="1"/>
  <c r="I211" i="1"/>
  <c r="H211" i="1"/>
  <c r="K210" i="1"/>
  <c r="J210" i="1"/>
  <c r="I210" i="1"/>
  <c r="H210" i="1"/>
  <c r="K209" i="1"/>
  <c r="J209" i="1"/>
  <c r="I209" i="1"/>
  <c r="H209" i="1"/>
  <c r="K208" i="1"/>
  <c r="J208" i="1"/>
  <c r="I208" i="1"/>
  <c r="H208" i="1"/>
  <c r="K207" i="1"/>
  <c r="J207" i="1"/>
  <c r="I207" i="1"/>
  <c r="H207" i="1"/>
  <c r="K206" i="1"/>
  <c r="J206" i="1"/>
  <c r="I206" i="1"/>
  <c r="H206" i="1"/>
  <c r="K205" i="1"/>
  <c r="J205" i="1"/>
  <c r="I205" i="1"/>
  <c r="H205" i="1"/>
  <c r="K204" i="1"/>
  <c r="J204" i="1"/>
  <c r="I204" i="1"/>
  <c r="H204" i="1"/>
  <c r="K203" i="1"/>
  <c r="J203" i="1"/>
  <c r="I203" i="1"/>
  <c r="H203" i="1"/>
  <c r="K202" i="1"/>
  <c r="J202" i="1"/>
  <c r="I202" i="1"/>
  <c r="H202" i="1"/>
  <c r="K201" i="1"/>
  <c r="J201" i="1"/>
  <c r="I201" i="1"/>
  <c r="H201" i="1"/>
  <c r="K200" i="1"/>
  <c r="J200" i="1"/>
  <c r="I200" i="1"/>
  <c r="H200" i="1"/>
  <c r="K199" i="1"/>
  <c r="J199" i="1"/>
  <c r="I199" i="1"/>
  <c r="H199" i="1"/>
  <c r="K198" i="1"/>
  <c r="J198" i="1"/>
  <c r="I198" i="1"/>
  <c r="H198" i="1"/>
  <c r="K197" i="1"/>
  <c r="J197" i="1"/>
  <c r="I197" i="1"/>
  <c r="H197" i="1"/>
  <c r="K196" i="1"/>
  <c r="J196" i="1"/>
  <c r="I196" i="1"/>
  <c r="H196" i="1"/>
  <c r="K195" i="1"/>
  <c r="J195" i="1"/>
  <c r="I195" i="1"/>
  <c r="H195" i="1"/>
  <c r="K194" i="1"/>
  <c r="J194" i="1"/>
  <c r="I194" i="1"/>
  <c r="H194" i="1"/>
  <c r="K193" i="1"/>
  <c r="J193" i="1"/>
  <c r="I193" i="1"/>
  <c r="H193" i="1"/>
  <c r="K192" i="1"/>
  <c r="J192" i="1"/>
  <c r="I192" i="1"/>
  <c r="H192" i="1"/>
  <c r="K191" i="1"/>
  <c r="J191" i="1"/>
  <c r="I191" i="1"/>
  <c r="H191" i="1"/>
  <c r="K190" i="1"/>
  <c r="J190" i="1"/>
  <c r="I190" i="1"/>
  <c r="H190" i="1"/>
  <c r="K189" i="1"/>
  <c r="J189" i="1"/>
  <c r="I189" i="1"/>
  <c r="H189" i="1"/>
  <c r="K188" i="1"/>
  <c r="J188" i="1"/>
  <c r="I188" i="1"/>
  <c r="H188" i="1"/>
  <c r="K187" i="1"/>
  <c r="J187" i="1"/>
  <c r="I187" i="1"/>
  <c r="H187" i="1"/>
  <c r="K186" i="1"/>
  <c r="J186" i="1"/>
  <c r="I186" i="1"/>
  <c r="H186" i="1"/>
  <c r="K185" i="1"/>
  <c r="J185" i="1"/>
  <c r="I185" i="1"/>
  <c r="H185" i="1"/>
  <c r="K184" i="1"/>
  <c r="J184" i="1"/>
  <c r="I184" i="1"/>
  <c r="H184" i="1"/>
  <c r="K183" i="1"/>
  <c r="J183" i="1"/>
  <c r="I183" i="1"/>
  <c r="H183" i="1"/>
  <c r="K182" i="1"/>
  <c r="J182" i="1"/>
  <c r="I182" i="1"/>
  <c r="H182" i="1"/>
  <c r="K181" i="1"/>
  <c r="J181" i="1"/>
  <c r="I181" i="1"/>
  <c r="H181" i="1"/>
  <c r="K180" i="1"/>
  <c r="J180" i="1"/>
  <c r="I180" i="1"/>
  <c r="H180" i="1"/>
  <c r="K179" i="1"/>
  <c r="J179" i="1"/>
  <c r="I179" i="1"/>
  <c r="H179" i="1"/>
  <c r="K178" i="1"/>
  <c r="J178" i="1"/>
  <c r="I178" i="1"/>
  <c r="H178" i="1"/>
  <c r="K177" i="1"/>
  <c r="J177" i="1"/>
  <c r="I177" i="1"/>
  <c r="H177" i="1"/>
  <c r="K176" i="1"/>
  <c r="J176" i="1"/>
  <c r="I176" i="1"/>
  <c r="H176" i="1"/>
  <c r="K175" i="1"/>
  <c r="J175" i="1"/>
  <c r="I175" i="1"/>
  <c r="H175" i="1"/>
  <c r="K174" i="1"/>
  <c r="J174" i="1"/>
  <c r="I174" i="1"/>
  <c r="H174" i="1"/>
  <c r="K173" i="1"/>
  <c r="J173" i="1"/>
  <c r="I173" i="1"/>
  <c r="H173" i="1"/>
  <c r="K172" i="1"/>
  <c r="J172" i="1"/>
  <c r="I172" i="1"/>
  <c r="H172" i="1"/>
  <c r="K171" i="1"/>
  <c r="J171" i="1"/>
  <c r="I171" i="1"/>
  <c r="H171" i="1"/>
  <c r="K170" i="1"/>
  <c r="J170" i="1"/>
  <c r="I170" i="1"/>
  <c r="H170" i="1"/>
  <c r="K169" i="1"/>
  <c r="J169" i="1"/>
  <c r="I169" i="1"/>
  <c r="H169" i="1"/>
  <c r="K168" i="1"/>
  <c r="J168" i="1"/>
  <c r="I168" i="1"/>
  <c r="H168" i="1"/>
  <c r="K167" i="1"/>
  <c r="J167" i="1"/>
  <c r="I167" i="1"/>
  <c r="H167" i="1"/>
  <c r="K166" i="1"/>
  <c r="J166" i="1"/>
  <c r="I166" i="1"/>
  <c r="H166" i="1"/>
  <c r="K165" i="1"/>
  <c r="J165" i="1"/>
  <c r="I165" i="1"/>
  <c r="H165" i="1"/>
  <c r="K164" i="1"/>
  <c r="J164" i="1"/>
  <c r="I164" i="1"/>
  <c r="H164" i="1"/>
  <c r="K163" i="1"/>
  <c r="J163" i="1"/>
  <c r="I163" i="1"/>
  <c r="H163" i="1"/>
  <c r="K162" i="1"/>
  <c r="J162" i="1"/>
  <c r="I162" i="1"/>
  <c r="H162" i="1"/>
  <c r="K161" i="1"/>
  <c r="J161" i="1"/>
  <c r="I161" i="1"/>
  <c r="H161" i="1"/>
  <c r="K160" i="1"/>
  <c r="J160" i="1"/>
  <c r="I160" i="1"/>
  <c r="H160" i="1"/>
  <c r="K159" i="1"/>
  <c r="J159" i="1"/>
  <c r="I159" i="1"/>
  <c r="H159" i="1"/>
  <c r="K158" i="1"/>
  <c r="J158" i="1"/>
  <c r="I158" i="1"/>
  <c r="H158" i="1"/>
  <c r="K157" i="1"/>
  <c r="J157" i="1"/>
  <c r="I157" i="1"/>
  <c r="H157" i="1"/>
  <c r="K156" i="1"/>
  <c r="J156" i="1"/>
  <c r="I156" i="1"/>
  <c r="H156" i="1"/>
  <c r="K155" i="1"/>
  <c r="J155" i="1"/>
  <c r="I155" i="1"/>
  <c r="H155" i="1"/>
  <c r="K154" i="1"/>
  <c r="J154" i="1"/>
  <c r="I154" i="1"/>
  <c r="H154" i="1"/>
  <c r="K153" i="1"/>
  <c r="J153" i="1"/>
  <c r="I153" i="1"/>
  <c r="H153" i="1"/>
  <c r="K152" i="1"/>
  <c r="J152" i="1"/>
  <c r="I152" i="1"/>
  <c r="H152" i="1"/>
  <c r="K151" i="1"/>
  <c r="J151" i="1"/>
  <c r="I151" i="1"/>
  <c r="H151" i="1"/>
  <c r="K150" i="1"/>
  <c r="J150" i="1"/>
  <c r="I150" i="1"/>
  <c r="H150" i="1"/>
  <c r="K149" i="1"/>
  <c r="J149" i="1"/>
  <c r="I149" i="1"/>
  <c r="H149" i="1"/>
  <c r="K148" i="1"/>
  <c r="J148" i="1"/>
  <c r="I148" i="1"/>
  <c r="H148" i="1"/>
  <c r="K147" i="1"/>
  <c r="J147" i="1"/>
  <c r="I147" i="1"/>
  <c r="H147" i="1"/>
  <c r="K146" i="1"/>
  <c r="J146" i="1"/>
  <c r="I146" i="1"/>
  <c r="H146" i="1"/>
  <c r="K145" i="1"/>
  <c r="J145" i="1"/>
  <c r="I145" i="1"/>
  <c r="H145" i="1"/>
  <c r="K144" i="1"/>
  <c r="J144" i="1"/>
  <c r="I144" i="1"/>
  <c r="H144" i="1"/>
  <c r="K143" i="1"/>
  <c r="J143" i="1"/>
  <c r="I143" i="1"/>
  <c r="H143" i="1"/>
  <c r="K142" i="1"/>
  <c r="J142" i="1"/>
  <c r="I142" i="1"/>
  <c r="H142" i="1"/>
  <c r="K141" i="1"/>
  <c r="J141" i="1"/>
  <c r="I141" i="1"/>
  <c r="H141" i="1"/>
  <c r="K140" i="1"/>
  <c r="J140" i="1"/>
  <c r="I140" i="1"/>
  <c r="H140" i="1"/>
  <c r="K139" i="1"/>
  <c r="J139" i="1"/>
  <c r="I139" i="1"/>
  <c r="H139" i="1"/>
  <c r="K138" i="1"/>
  <c r="J138" i="1"/>
  <c r="I138" i="1"/>
  <c r="H138" i="1"/>
  <c r="K137" i="1"/>
  <c r="J137" i="1"/>
  <c r="I137" i="1"/>
  <c r="H137" i="1"/>
  <c r="K136" i="1"/>
  <c r="J136" i="1"/>
  <c r="I136" i="1"/>
  <c r="H136" i="1"/>
  <c r="K135" i="1"/>
  <c r="J135" i="1"/>
  <c r="I135" i="1"/>
  <c r="H135" i="1"/>
  <c r="K134" i="1"/>
  <c r="J134" i="1"/>
  <c r="I134" i="1"/>
  <c r="H134" i="1"/>
  <c r="K133" i="1"/>
  <c r="J133" i="1"/>
  <c r="I133" i="1"/>
  <c r="H133" i="1"/>
  <c r="K132" i="1"/>
  <c r="J132" i="1"/>
  <c r="I132" i="1"/>
  <c r="H132" i="1"/>
  <c r="K131" i="1"/>
  <c r="J131" i="1"/>
  <c r="I131" i="1"/>
  <c r="H131" i="1"/>
  <c r="K130" i="1"/>
  <c r="J130" i="1"/>
  <c r="I130" i="1"/>
  <c r="H130" i="1"/>
  <c r="K129" i="1"/>
  <c r="J129" i="1"/>
  <c r="I129" i="1"/>
  <c r="H129" i="1"/>
  <c r="K128" i="1"/>
  <c r="J128" i="1"/>
  <c r="I128" i="1"/>
  <c r="H128" i="1"/>
  <c r="K127" i="1"/>
  <c r="J127" i="1"/>
  <c r="I127" i="1"/>
  <c r="H127" i="1"/>
  <c r="K126" i="1"/>
  <c r="J126" i="1"/>
  <c r="I126" i="1"/>
  <c r="H126" i="1"/>
  <c r="K125" i="1"/>
  <c r="J125" i="1"/>
  <c r="I125" i="1"/>
  <c r="H125" i="1"/>
  <c r="K124" i="1"/>
  <c r="J124" i="1"/>
  <c r="I124" i="1"/>
  <c r="H124" i="1"/>
  <c r="K123" i="1"/>
  <c r="J123" i="1"/>
  <c r="I123" i="1"/>
  <c r="H123" i="1"/>
  <c r="K122" i="1"/>
  <c r="J122" i="1"/>
  <c r="I122" i="1"/>
  <c r="H122" i="1"/>
  <c r="K121" i="1"/>
  <c r="J121" i="1"/>
  <c r="I121" i="1"/>
  <c r="H121" i="1"/>
  <c r="K120" i="1"/>
  <c r="J120" i="1"/>
  <c r="I120" i="1"/>
  <c r="H120" i="1"/>
  <c r="K119" i="1"/>
  <c r="J119" i="1"/>
  <c r="I119" i="1"/>
  <c r="H119" i="1"/>
  <c r="K118" i="1"/>
  <c r="J118" i="1"/>
  <c r="I118" i="1"/>
  <c r="H118" i="1"/>
  <c r="K117" i="1"/>
  <c r="J117" i="1"/>
  <c r="I117" i="1"/>
  <c r="H117" i="1"/>
  <c r="K116" i="1"/>
  <c r="J116" i="1"/>
  <c r="I116" i="1"/>
  <c r="H116" i="1"/>
  <c r="K115" i="1"/>
  <c r="J115" i="1"/>
  <c r="I115" i="1"/>
  <c r="H115" i="1"/>
  <c r="K114" i="1"/>
  <c r="J114" i="1"/>
  <c r="I114" i="1"/>
  <c r="H114" i="1"/>
  <c r="K113" i="1"/>
  <c r="J113" i="1"/>
  <c r="I113" i="1"/>
  <c r="H113" i="1"/>
  <c r="K112" i="1"/>
  <c r="J112" i="1"/>
  <c r="I112" i="1"/>
  <c r="H112" i="1"/>
  <c r="K111" i="1"/>
  <c r="J111" i="1"/>
  <c r="I111" i="1"/>
  <c r="H111" i="1"/>
  <c r="K110" i="1"/>
  <c r="J110" i="1"/>
  <c r="I110" i="1"/>
  <c r="H110" i="1"/>
  <c r="K109" i="1"/>
  <c r="J109" i="1"/>
  <c r="I109" i="1"/>
  <c r="H109" i="1"/>
  <c r="K108" i="1"/>
  <c r="J108" i="1"/>
  <c r="I108" i="1"/>
  <c r="H108" i="1"/>
  <c r="K107" i="1"/>
  <c r="J107" i="1"/>
  <c r="I107" i="1"/>
  <c r="H107" i="1"/>
  <c r="K106" i="1"/>
  <c r="J106" i="1"/>
  <c r="I106" i="1"/>
  <c r="H106" i="1"/>
  <c r="K105" i="1"/>
  <c r="J105" i="1"/>
  <c r="I105" i="1"/>
  <c r="H105" i="1"/>
  <c r="K104" i="1"/>
  <c r="J104" i="1"/>
  <c r="I104" i="1"/>
  <c r="H104" i="1"/>
  <c r="K103" i="1"/>
  <c r="J103" i="1"/>
  <c r="I103" i="1"/>
  <c r="H103" i="1"/>
  <c r="K102" i="1"/>
  <c r="J102" i="1"/>
  <c r="I102" i="1"/>
  <c r="H102" i="1"/>
  <c r="K101" i="1"/>
  <c r="J101" i="1"/>
  <c r="I101" i="1"/>
  <c r="H101" i="1"/>
  <c r="K100" i="1"/>
  <c r="J100" i="1"/>
  <c r="I100" i="1"/>
  <c r="H100" i="1"/>
  <c r="K99" i="1"/>
  <c r="J99" i="1"/>
  <c r="I99" i="1"/>
  <c r="H99" i="1"/>
  <c r="K98" i="1"/>
  <c r="J98" i="1"/>
  <c r="I98" i="1"/>
  <c r="H98" i="1"/>
  <c r="K97" i="1"/>
  <c r="J97" i="1"/>
  <c r="I97" i="1"/>
  <c r="H97" i="1"/>
  <c r="K96" i="1"/>
  <c r="J96" i="1"/>
  <c r="I96" i="1"/>
  <c r="H96" i="1"/>
  <c r="K95" i="1"/>
  <c r="J95" i="1"/>
  <c r="I95" i="1"/>
  <c r="H95" i="1"/>
  <c r="K94" i="1"/>
  <c r="J94" i="1"/>
  <c r="I94" i="1"/>
  <c r="H94" i="1"/>
  <c r="K93" i="1"/>
  <c r="J93" i="1"/>
  <c r="I93" i="1"/>
  <c r="H93" i="1"/>
  <c r="K92" i="1"/>
  <c r="J92" i="1"/>
  <c r="I92" i="1"/>
  <c r="H92" i="1"/>
  <c r="K91" i="1"/>
  <c r="J91" i="1"/>
  <c r="I91" i="1"/>
  <c r="H91" i="1"/>
  <c r="K90" i="1"/>
  <c r="J90" i="1"/>
  <c r="I90" i="1"/>
  <c r="H90" i="1"/>
  <c r="K89" i="1"/>
  <c r="J89" i="1"/>
  <c r="I89" i="1"/>
  <c r="H89" i="1"/>
  <c r="K88" i="1"/>
  <c r="J88" i="1"/>
  <c r="I88" i="1"/>
  <c r="H88" i="1"/>
  <c r="K87" i="1"/>
  <c r="J87" i="1"/>
  <c r="I87" i="1"/>
  <c r="H87" i="1"/>
  <c r="K86" i="1"/>
  <c r="J86" i="1"/>
  <c r="I86" i="1"/>
  <c r="H86" i="1"/>
  <c r="K85" i="1"/>
  <c r="J85" i="1"/>
  <c r="I85" i="1"/>
  <c r="H85" i="1"/>
  <c r="K84" i="1"/>
  <c r="J84" i="1"/>
  <c r="I84" i="1"/>
  <c r="H84" i="1"/>
  <c r="K83" i="1"/>
  <c r="J83" i="1"/>
  <c r="I83" i="1"/>
  <c r="H83" i="1"/>
  <c r="K82" i="1"/>
  <c r="J82" i="1"/>
  <c r="I82" i="1"/>
  <c r="H82" i="1"/>
  <c r="K81" i="1"/>
  <c r="J81" i="1"/>
  <c r="I81" i="1"/>
  <c r="H81" i="1"/>
  <c r="K80" i="1"/>
  <c r="J80" i="1"/>
  <c r="I80" i="1"/>
  <c r="H80" i="1"/>
  <c r="K79" i="1"/>
  <c r="J79" i="1"/>
  <c r="I79" i="1"/>
  <c r="H79" i="1"/>
  <c r="K78" i="1"/>
  <c r="J78" i="1"/>
  <c r="I78" i="1"/>
  <c r="H78" i="1"/>
  <c r="K77" i="1"/>
  <c r="J77" i="1"/>
  <c r="I77" i="1"/>
  <c r="H77" i="1"/>
  <c r="K76" i="1"/>
  <c r="J76" i="1"/>
  <c r="I76" i="1"/>
  <c r="H76" i="1"/>
  <c r="K75" i="1"/>
  <c r="J75" i="1"/>
  <c r="I75" i="1"/>
  <c r="H75" i="1"/>
  <c r="K74" i="1"/>
  <c r="J74" i="1"/>
  <c r="I74" i="1"/>
  <c r="H74" i="1"/>
  <c r="K73" i="1"/>
  <c r="J73" i="1"/>
  <c r="I73" i="1"/>
  <c r="H73" i="1"/>
  <c r="K72" i="1"/>
  <c r="J72" i="1"/>
  <c r="I72" i="1"/>
  <c r="H72" i="1"/>
  <c r="K71" i="1"/>
  <c r="J71" i="1"/>
  <c r="I71" i="1"/>
  <c r="H71" i="1"/>
  <c r="K70" i="1"/>
  <c r="J70" i="1"/>
  <c r="I70" i="1"/>
  <c r="H70" i="1"/>
  <c r="K69" i="1"/>
  <c r="J69" i="1"/>
  <c r="I69" i="1"/>
  <c r="H69" i="1"/>
  <c r="K68" i="1"/>
  <c r="J68" i="1"/>
  <c r="I68" i="1"/>
  <c r="H68" i="1"/>
  <c r="K67" i="1"/>
  <c r="J67" i="1"/>
  <c r="I67" i="1"/>
  <c r="H67" i="1"/>
  <c r="K66" i="1"/>
  <c r="J66" i="1"/>
  <c r="I66" i="1"/>
  <c r="H66" i="1"/>
  <c r="K65" i="1"/>
  <c r="J65" i="1"/>
  <c r="I65" i="1"/>
  <c r="H65" i="1"/>
  <c r="K64" i="1"/>
  <c r="J64" i="1"/>
  <c r="I64" i="1"/>
  <c r="H64" i="1"/>
  <c r="K63" i="1"/>
  <c r="J63" i="1"/>
  <c r="I63" i="1"/>
  <c r="H63" i="1"/>
  <c r="K62" i="1"/>
  <c r="J62" i="1"/>
  <c r="I62" i="1"/>
  <c r="H62" i="1"/>
  <c r="K61" i="1"/>
  <c r="J61" i="1"/>
  <c r="I61" i="1"/>
  <c r="H61" i="1"/>
  <c r="K60" i="1"/>
  <c r="J60" i="1"/>
  <c r="I60" i="1"/>
  <c r="H60" i="1"/>
  <c r="K59" i="1"/>
  <c r="J59" i="1"/>
  <c r="I59" i="1"/>
  <c r="H59" i="1"/>
  <c r="K58" i="1"/>
  <c r="J58" i="1"/>
  <c r="I58" i="1"/>
  <c r="H58" i="1"/>
  <c r="K57" i="1"/>
  <c r="J57" i="1"/>
  <c r="I57" i="1"/>
  <c r="H57" i="1"/>
  <c r="K56" i="1"/>
  <c r="J56" i="1"/>
  <c r="I56" i="1"/>
  <c r="H56" i="1"/>
  <c r="K55" i="1"/>
  <c r="J55" i="1"/>
  <c r="I55" i="1"/>
  <c r="H55" i="1"/>
  <c r="K54" i="1"/>
  <c r="J54" i="1"/>
  <c r="I54" i="1"/>
  <c r="H54" i="1"/>
  <c r="K53" i="1"/>
  <c r="J53" i="1"/>
  <c r="I53" i="1"/>
  <c r="H53" i="1"/>
  <c r="K52" i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J31" i="1"/>
  <c r="I31" i="1"/>
  <c r="H31" i="1"/>
  <c r="K30" i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</calcChain>
</file>

<file path=xl/sharedStrings.xml><?xml version="1.0" encoding="utf-8"?>
<sst xmlns="http://schemas.openxmlformats.org/spreadsheetml/2006/main" count="1511" uniqueCount="864">
  <si>
    <t>id</t>
  </si>
  <si>
    <t>name</t>
  </si>
  <si>
    <t>price</t>
  </si>
  <si>
    <t>image</t>
  </si>
  <si>
    <t>description</t>
  </si>
  <si>
    <t>category</t>
  </si>
  <si>
    <t>inStock</t>
  </si>
  <si>
    <t>discount_mode</t>
  </si>
  <si>
    <t>discount_rate</t>
  </si>
  <si>
    <t>discount_label</t>
  </si>
  <si>
    <t>price_discounted</t>
  </si>
  <si>
    <t>Anillo ajustable con perla - Modelo 1</t>
  </si>
  <si>
    <t>1.jpg</t>
  </si>
  <si>
    <t>Anillo ajustable con perla natural y acabado dorado.</t>
  </si>
  <si>
    <t>Anillos</t>
  </si>
  <si>
    <t>Anillo ajustable con perla - Modelo 2</t>
  </si>
  <si>
    <t>2.jpg</t>
  </si>
  <si>
    <t>Anillo ajustable con perla - Modelo 3</t>
  </si>
  <si>
    <t>3.jpg</t>
  </si>
  <si>
    <t>Anillo ajustable con perla - Modelo 4</t>
  </si>
  <si>
    <t>4.jpg</t>
  </si>
  <si>
    <t>Anillo ajustable con perla - Modelo 5</t>
  </si>
  <si>
    <t>5.jpg</t>
  </si>
  <si>
    <t>Anillo ajustable con perla - Modelo 6</t>
  </si>
  <si>
    <t>6.jpg</t>
  </si>
  <si>
    <t>Anillo ajustable con perla - Modelo 7</t>
  </si>
  <si>
    <t>7.jpg</t>
  </si>
  <si>
    <t>Anillo ajustable con perla - Modelo 8</t>
  </si>
  <si>
    <t>8.jpg</t>
  </si>
  <si>
    <t>Anillo ajustable con perla - Modelo 9</t>
  </si>
  <si>
    <t>9.jpg</t>
  </si>
  <si>
    <t>Anillo ajustable con perla - Modelo 10</t>
  </si>
  <si>
    <t>10.jpg</t>
  </si>
  <si>
    <t>Anillo ajustable con perla - Modelo 11</t>
  </si>
  <si>
    <t>11.jpg</t>
  </si>
  <si>
    <t>Anillo ajustable con perla - Modelo 12</t>
  </si>
  <si>
    <t>12.jpg</t>
  </si>
  <si>
    <t>Anillo de mariposa nacarada - Modelo 1</t>
  </si>
  <si>
    <t>13.jpg</t>
  </si>
  <si>
    <t>Anillo abierto con mariposa esmaltada y detalle nacarado.</t>
  </si>
  <si>
    <t>Anillo de mariposa nacarada - Modelo 2</t>
  </si>
  <si>
    <t>14.jpg</t>
  </si>
  <si>
    <t>Anillo de mariposa nacarada - Modelo 3</t>
  </si>
  <si>
    <t>15.jpg</t>
  </si>
  <si>
    <t>Anillo de mariposa nacarada - Modelo 4</t>
  </si>
  <si>
    <t>16.jpg</t>
  </si>
  <si>
    <t>Anillo de mariposa nacarada - Modelo 5</t>
  </si>
  <si>
    <t>17.jpg</t>
  </si>
  <si>
    <t>Anillo de mariposa nacarada - Modelo 6</t>
  </si>
  <si>
    <t>18.jpg</t>
  </si>
  <si>
    <t>Anillo de mariposa nacarada - Modelo 7</t>
  </si>
  <si>
    <t>19.jpg</t>
  </si>
  <si>
    <t>Anillo de mariposa nacarada - Modelo 8</t>
  </si>
  <si>
    <t>20.jpg</t>
  </si>
  <si>
    <t>Anillo de mariposa nacarada - Modelo 9</t>
  </si>
  <si>
    <t>21.jpg</t>
  </si>
  <si>
    <t>Anillo de mariposa nacarada - Modelo 10</t>
  </si>
  <si>
    <t>22.jpg</t>
  </si>
  <si>
    <t>Anillo de mariposa nacarada - Modelo 11</t>
  </si>
  <si>
    <t>23.jpg</t>
  </si>
  <si>
    <t>Anillo de mariposa nacarada - Modelo 12</t>
  </si>
  <si>
    <t>24.jpg</t>
  </si>
  <si>
    <t>Anillo de mariposa nacarada - Modelo 13</t>
  </si>
  <si>
    <t>25.jpg</t>
  </si>
  <si>
    <t>Anillo de mariposa nacarada - Modelo 14</t>
  </si>
  <si>
    <t>26.jpg</t>
  </si>
  <si>
    <t>Anillo de mariposa nacarada - Modelo 15</t>
  </si>
  <si>
    <t>27.jpg</t>
  </si>
  <si>
    <t>Anillo de mariposa nacarada - Modelo 16</t>
  </si>
  <si>
    <t>28.jpg</t>
  </si>
  <si>
    <t>Anillo de mariposa nacarada - Modelo 17</t>
  </si>
  <si>
    <t>29.jpg</t>
  </si>
  <si>
    <t>Anillo de mariposa nacarada - Modelo 18</t>
  </si>
  <si>
    <t>30.jpg</t>
  </si>
  <si>
    <t>Anillo de mariposa nacarada - Modelo 19</t>
  </si>
  <si>
    <t>31.jpg</t>
  </si>
  <si>
    <t>Anillo de mariposa nacarada - Modelo 20</t>
  </si>
  <si>
    <t>32.jpg</t>
  </si>
  <si>
    <t>Anillo de mariposa nacarada - Modelo 21</t>
  </si>
  <si>
    <t>33.jpg</t>
  </si>
  <si>
    <t>Anillo de mariposa nacarada - Modelo 22</t>
  </si>
  <si>
    <t>34.jpg</t>
  </si>
  <si>
    <t>Anillo de mariposa nacarada - Modelo 23</t>
  </si>
  <si>
    <t>35.jpg</t>
  </si>
  <si>
    <t>Anillo de mariposa nacarada - Modelo 24</t>
  </si>
  <si>
    <t>36.jpg</t>
  </si>
  <si>
    <t>Pendientes de perlas y cristales - Modelo 1</t>
  </si>
  <si>
    <t>37.jpg</t>
  </si>
  <si>
    <t>Pendientes largos con perlas y cristales de brillo elegante.</t>
  </si>
  <si>
    <t>Aretes</t>
  </si>
  <si>
    <t>Pendientes de perlas y cristales - Modelo 2</t>
  </si>
  <si>
    <t>38.jpg</t>
  </si>
  <si>
    <t>Pendientes de perlas y cristales - Modelo 3</t>
  </si>
  <si>
    <t>39.jpg</t>
  </si>
  <si>
    <t>Pendientes de perlas y cristales - Modelo 4</t>
  </si>
  <si>
    <t>40.jpg</t>
  </si>
  <si>
    <t>Pendientes de perlas y cristales - Modelo 5</t>
  </si>
  <si>
    <t>41.jpg</t>
  </si>
  <si>
    <t>Pendientes de perlas y cristales - Modelo 6</t>
  </si>
  <si>
    <t>42.jpg</t>
  </si>
  <si>
    <t>Pendientes de perlas y cristales - Modelo 7</t>
  </si>
  <si>
    <t>43.jpg</t>
  </si>
  <si>
    <t>Pendientes de perlas y cristales - Modelo 8</t>
  </si>
  <si>
    <t>44.jpg</t>
  </si>
  <si>
    <t>Pendientes de perlas y cristales - Modelo 9</t>
  </si>
  <si>
    <t>45.jpg</t>
  </si>
  <si>
    <t>Pendientes de perlas y cristales - Modelo 10</t>
  </si>
  <si>
    <t>46.jpg</t>
  </si>
  <si>
    <t>Pendientes de perlas y cristales - Modelo 11</t>
  </si>
  <si>
    <t>47.jpg</t>
  </si>
  <si>
    <t>Pendientes de perlas y cristales - Modelo 12</t>
  </si>
  <si>
    <t>48.jpg</t>
  </si>
  <si>
    <t>Pendientes de perlas y cristales - Modelo 13</t>
  </si>
  <si>
    <t>49.jpg</t>
  </si>
  <si>
    <t>Pendientes de perlas y cristales - Modelo 14</t>
  </si>
  <si>
    <t>50.jpg</t>
  </si>
  <si>
    <t>Pendientes de perlas y cristales - Modelo 15</t>
  </si>
  <si>
    <t>51.jpg</t>
  </si>
  <si>
    <t>Pendientes de perlas y cristales - Modelo 16</t>
  </si>
  <si>
    <t>52.jpg</t>
  </si>
  <si>
    <t>Pendientes de perlas y cristales - Modelo 17</t>
  </si>
  <si>
    <t>53.jpg</t>
  </si>
  <si>
    <t>Pendientes de perlas y cristales - Modelo 18</t>
  </si>
  <si>
    <t>54.jpg</t>
  </si>
  <si>
    <t>Collar cubo de azúcar - Modelo 1</t>
  </si>
  <si>
    <t>55.jpg</t>
  </si>
  <si>
    <t>Collar delicado con colgante geométrico y acabado dorado.</t>
  </si>
  <si>
    <t>Collares</t>
  </si>
  <si>
    <t>Collar cubo de azúcar - Modelo 2</t>
  </si>
  <si>
    <t>56.jpg</t>
  </si>
  <si>
    <t>Collar cubo de azúcar - Modelo 3</t>
  </si>
  <si>
    <t>57.jpg</t>
  </si>
  <si>
    <t>Collar cubo de azúcar - Modelo 4</t>
  </si>
  <si>
    <t>58.jpg</t>
  </si>
  <si>
    <t>Collar cubo de azúcar - Modelo 5</t>
  </si>
  <si>
    <t>59.jpg</t>
  </si>
  <si>
    <t>Collar cubo de azúcar - Modelo 6</t>
  </si>
  <si>
    <t>60.jpg</t>
  </si>
  <si>
    <t>Aros circulares retro - Modelo 1</t>
  </si>
  <si>
    <t>61.jpg</t>
  </si>
  <si>
    <t>Aros circulares con estilo retro y presencia marcada.</t>
  </si>
  <si>
    <t>Aros circulares retro - Modelo 2</t>
  </si>
  <si>
    <t>62.jpg</t>
  </si>
  <si>
    <t>Pendientes vintage estilo óleo - Modelo 1</t>
  </si>
  <si>
    <t>63.jpg</t>
  </si>
  <si>
    <t>Pendientes artísticos con inspiración vintage y efecto óleo.</t>
  </si>
  <si>
    <t>Pendientes vintage estilo óleo - Modelo 2</t>
  </si>
  <si>
    <t>64.jpg</t>
  </si>
  <si>
    <t>Pendientes vintage estilo óleo - Modelo 3</t>
  </si>
  <si>
    <t>65.jpg</t>
  </si>
  <si>
    <t>Pendientes vintage estilo óleo - Modelo 4</t>
  </si>
  <si>
    <t>66.jpg</t>
  </si>
  <si>
    <t>Pendientes vintage estilo óleo - Modelo 5</t>
  </si>
  <si>
    <t>67.jpg</t>
  </si>
  <si>
    <t>Pendientes vintage estilo óleo - Modelo 6</t>
  </si>
  <si>
    <t>68.jpg</t>
  </si>
  <si>
    <t>Pendientes vintage estilo óleo - Modelo 7</t>
  </si>
  <si>
    <t>69.jpg</t>
  </si>
  <si>
    <t>Pendientes mariposa vintage</t>
  </si>
  <si>
    <t>70.jpg</t>
  </si>
  <si>
    <t>Pendientes de mariposa con acabado esmaltado y aire vintage.</t>
  </si>
  <si>
    <t>Pendientes vintage estilo óleo - Modelo 8</t>
  </si>
  <si>
    <t>71.jpg</t>
  </si>
  <si>
    <t>Pendientes vintage estilo óleo - Modelo 9</t>
  </si>
  <si>
    <t>72.jpg</t>
  </si>
  <si>
    <t>73.jpg</t>
  </si>
  <si>
    <t>Pendientes con cristal Murano en tono morado.</t>
  </si>
  <si>
    <t>Collar con rodonita - Modelo 1</t>
  </si>
  <si>
    <t>74.jpg</t>
  </si>
  <si>
    <t>Collar vintage con colgante de rodonita y brillo sutil.</t>
  </si>
  <si>
    <t>Collar con rodonita - Modelo 2</t>
  </si>
  <si>
    <t>75.jpg</t>
  </si>
  <si>
    <t>Collar con rodonita - Modelo 3</t>
  </si>
  <si>
    <t>76.jpg</t>
  </si>
  <si>
    <t>Collar con rodonita - Modelo 4</t>
  </si>
  <si>
    <t>77.jpg</t>
  </si>
  <si>
    <t>Collar con rodonita - Modelo 5</t>
  </si>
  <si>
    <t>78.jpg</t>
  </si>
  <si>
    <t>Collar con rodonita - Modelo 6</t>
  </si>
  <si>
    <t>79.jpg</t>
  </si>
  <si>
    <t>Collar de perlas y fresas - Modelo 1</t>
  </si>
  <si>
    <t>80.jpg</t>
  </si>
  <si>
    <t>Collar alegre con perlas y detalle de fresas.</t>
  </si>
  <si>
    <t>Collar de perlas y fresas - Modelo 2</t>
  </si>
  <si>
    <t>81.jpg</t>
  </si>
  <si>
    <t>Pendientes hada del bosque - Modelo 1</t>
  </si>
  <si>
    <t>82.jpg</t>
  </si>
  <si>
    <t>Pendientes de fantasía con acabado esmaltado y estilo bosque.</t>
  </si>
  <si>
    <t>Pendientes hada del bosque - Modelo 2</t>
  </si>
  <si>
    <t>83.jpg</t>
  </si>
  <si>
    <t>Pendientes hada del bosque - Modelo 3</t>
  </si>
  <si>
    <t>84.jpg</t>
  </si>
  <si>
    <t>Pendientes hada del bosque - Modelo 4</t>
  </si>
  <si>
    <t>85.jpg</t>
  </si>
  <si>
    <t>Pendientes hada del bosque - Modelo 5</t>
  </si>
  <si>
    <t>86.jpg</t>
  </si>
  <si>
    <t>Pendientes hada del bosque - Modelo 6</t>
  </si>
  <si>
    <t>87.jpg</t>
  </si>
  <si>
    <t>Pendientes hada del bosque - Modelo 7</t>
  </si>
  <si>
    <t>88.jpg</t>
  </si>
  <si>
    <t>Accesorio de diseño</t>
  </si>
  <si>
    <t>89.jpg</t>
  </si>
  <si>
    <t>Accesorio moderno de diseño sencillo y versátil.</t>
  </si>
  <si>
    <t>Pendientes lazo con perlas - Modelo 1</t>
  </si>
  <si>
    <t>90.jpg</t>
  </si>
  <si>
    <t>Pendientes de lazo con circonitas y perlas, delicados y femeninos.</t>
  </si>
  <si>
    <t>Pendientes lazo con perlas - Modelo 2</t>
  </si>
  <si>
    <t>91.jpg</t>
  </si>
  <si>
    <t>Pendientes lazo con perlas - Modelo 3</t>
  </si>
  <si>
    <t>92.jpg</t>
  </si>
  <si>
    <t>Pendientes lazo con perlas - Modelo 4</t>
  </si>
  <si>
    <t>93.jpg</t>
  </si>
  <si>
    <t>Pendientes lazo con perlas - Modelo 5</t>
  </si>
  <si>
    <t>94.jpg</t>
  </si>
  <si>
    <t>Pendientes lazo con perlas - Modelo 6</t>
  </si>
  <si>
    <t>95.jpg</t>
  </si>
  <si>
    <t>Pendientes lazo con perlas - Modelo 7</t>
  </si>
  <si>
    <t>96.jpg</t>
  </si>
  <si>
    <t>Pendientes lazo con perlas - Modelo 8</t>
  </si>
  <si>
    <t>97.jpg</t>
  </si>
  <si>
    <t>Pendientes lazo con perlas - Modelo 9</t>
  </si>
  <si>
    <t>98.jpg</t>
  </si>
  <si>
    <t>Pendientes lazo con perlas - Modelo 10</t>
  </si>
  <si>
    <t>99.jpg</t>
  </si>
  <si>
    <t>Pendientes lazo con perlas - Modelo 11</t>
  </si>
  <si>
    <t>100.jpg</t>
  </si>
  <si>
    <t>Pendientes lazo con perlas - Modelo 12</t>
  </si>
  <si>
    <t>101.jpg</t>
  </si>
  <si>
    <t>Collar de titanio - Modelo 1</t>
  </si>
  <si>
    <t>102.jpg</t>
  </si>
  <si>
    <t>Collar minimalista de titanio, resistente y fácil de combinar.</t>
  </si>
  <si>
    <t>Collar de titanio - Modelo 2</t>
  </si>
  <si>
    <t>103.jpg</t>
  </si>
  <si>
    <t>Collar de titanio - Modelo 3</t>
  </si>
  <si>
    <t>104.jpg</t>
  </si>
  <si>
    <t>Pendientes girasol dorado - Modelo 1</t>
  </si>
  <si>
    <t>105.jpg</t>
  </si>
  <si>
    <t>Pendientes dorados con diseño de girasol y aire sofisticado.</t>
  </si>
  <si>
    <t>Pendientes girasol dorado - Modelo 2</t>
  </si>
  <si>
    <t>106.jpg</t>
  </si>
  <si>
    <t>Pendientes girasol dorado - Modelo 3</t>
  </si>
  <si>
    <t>107.jpg</t>
  </si>
  <si>
    <t>Pendientes girasol dorado - Modelo 4</t>
  </si>
  <si>
    <t>108.jpg</t>
  </si>
  <si>
    <t>Pendientes girasol dorado - Modelo 5</t>
  </si>
  <si>
    <t>109.jpg</t>
  </si>
  <si>
    <t>Pendientes rosa de tela</t>
  </si>
  <si>
    <t>110.jpg</t>
  </si>
  <si>
    <t>Pendientes con rosa de tela y estilo romántico.</t>
  </si>
  <si>
    <t>Pulsera flor de cuatro pétalos - Modelo 1</t>
  </si>
  <si>
    <t>111.jpg</t>
  </si>
  <si>
    <t>Pulsera delicada con flor de cuatro pétalos y circonitas.</t>
  </si>
  <si>
    <t>Pulseras</t>
  </si>
  <si>
    <t>Pulsera flor de cuatro pétalos - Modelo 2</t>
  </si>
  <si>
    <t>112.jpg</t>
  </si>
  <si>
    <t>Pulsera flor de cuatro pétalos - Modelo 3</t>
  </si>
  <si>
    <t>113.jpg</t>
  </si>
  <si>
    <t>Pulsera flor de cuatro pétalos - Modelo 4</t>
  </si>
  <si>
    <t>114.jpg</t>
  </si>
  <si>
    <t>Pendientes clip azul</t>
  </si>
  <si>
    <t>115.jpg</t>
  </si>
  <si>
    <t>Pendientes clip geométricos en tono azul.</t>
  </si>
  <si>
    <t>Pendientes borla dopamina - Modelo 1</t>
  </si>
  <si>
    <t>116.jpg</t>
  </si>
  <si>
    <t>Pendientes con borlas y estilo alegre, ideales para looks llamativos.</t>
  </si>
  <si>
    <t>Pendientes borla dopamina - Modelo 2</t>
  </si>
  <si>
    <t>117.jpg</t>
  </si>
  <si>
    <t>Pendientes borla dopamina - Modelo 3</t>
  </si>
  <si>
    <t>118.jpg</t>
  </si>
  <si>
    <t>Pendientes de perlas y flores - Modelo 1</t>
  </si>
  <si>
    <t>119.jpg</t>
  </si>
  <si>
    <t>Pendientes con perlas y flores de estilo romántico.</t>
  </si>
  <si>
    <t>Pendientes de perlas y flores - Modelo 2</t>
  </si>
  <si>
    <t>120.jpg</t>
  </si>
  <si>
    <t>Pendientes corazón esmaltado - Modelo 1</t>
  </si>
  <si>
    <t>121.jpg</t>
  </si>
  <si>
    <t>Pendientes de corazón esmaltado con estilo romántico.</t>
  </si>
  <si>
    <t>Pendientes corazón esmaltado - Modelo 2</t>
  </si>
  <si>
    <t>122.jpg</t>
  </si>
  <si>
    <t>Pendientes corazón esmaltado - Modelo 3</t>
  </si>
  <si>
    <t>123.jpg</t>
  </si>
  <si>
    <t>Pendientes corazón esmaltado - Modelo 4</t>
  </si>
  <si>
    <t>124.jpg</t>
  </si>
  <si>
    <t>Pendientes corazón esmaltado - Modelo 5</t>
  </si>
  <si>
    <t>125.jpg</t>
  </si>
  <si>
    <t>Pendientes corazón esmaltado - Modelo 6</t>
  </si>
  <si>
    <t>126.jpg</t>
  </si>
  <si>
    <t>Pendientes corazón esmaltado - Modelo 7</t>
  </si>
  <si>
    <t>127.jpg</t>
  </si>
  <si>
    <t>Pendientes corazón esmaltado - Modelo 8</t>
  </si>
  <si>
    <t>128.jpg</t>
  </si>
  <si>
    <t>Pendientes corazón esmaltado - Modelo 9</t>
  </si>
  <si>
    <t>129.jpg</t>
  </si>
  <si>
    <t>Pendientes corazón esmaltado - Modelo 10</t>
  </si>
  <si>
    <t>130.jpg</t>
  </si>
  <si>
    <t>Pendientes corazón esmaltado - Modelo 11</t>
  </si>
  <si>
    <t>131.jpg</t>
  </si>
  <si>
    <t>Pendientes ojo de gato - Modelo 1</t>
  </si>
  <si>
    <t>132.jpg</t>
  </si>
  <si>
    <t>Pendientes con diseño ojo de gato y brillo delicado.</t>
  </si>
  <si>
    <t>Pendientes ojo de gato - Modelo 2</t>
  </si>
  <si>
    <t>133.jpg</t>
  </si>
  <si>
    <t>Pendientes ojo de gato - Modelo 3</t>
  </si>
  <si>
    <t>134.jpg</t>
  </si>
  <si>
    <t>Pendientes ojo de gato - Modelo 4</t>
  </si>
  <si>
    <t>135.jpg</t>
  </si>
  <si>
    <t>Pendientes ojo de gato - Modelo 5</t>
  </si>
  <si>
    <t>136.jpg</t>
  </si>
  <si>
    <t>Pendientes de perlas y cristales - Modelo 19</t>
  </si>
  <si>
    <t>137.jpg</t>
  </si>
  <si>
    <t>Pendientes de perlas y cristales - Modelo 20</t>
  </si>
  <si>
    <t>138.jpg</t>
  </si>
  <si>
    <t>Pendientes de perlas y cristales - Modelo 21</t>
  </si>
  <si>
    <t>139.jpg</t>
  </si>
  <si>
    <t>Pendientes de perlas y cristales - Modelo 22</t>
  </si>
  <si>
    <t>140.jpg</t>
  </si>
  <si>
    <t>Pendientes de perlas y cristales - Modelo 23</t>
  </si>
  <si>
    <t>141.jpg</t>
  </si>
  <si>
    <t>Pendientes de perlas y cristales - Modelo 24</t>
  </si>
  <si>
    <t>142.jpg</t>
  </si>
  <si>
    <t>Pendientes de perlas y cristales - Modelo 25</t>
  </si>
  <si>
    <t>143.jpg</t>
  </si>
  <si>
    <t>Pendientes de perlas y cristales - Modelo 26</t>
  </si>
  <si>
    <t>144.jpg</t>
  </si>
  <si>
    <t>Pendientes de perlas y cristales - Modelo 27</t>
  </si>
  <si>
    <t>145.jpg</t>
  </si>
  <si>
    <t>Pendientes de perlas y cristales - Modelo 28</t>
  </si>
  <si>
    <t>146.jpg</t>
  </si>
  <si>
    <t>Pendientes de perlas y cristales - Modelo 29</t>
  </si>
  <si>
    <t>147.jpg</t>
  </si>
  <si>
    <t>Pendientes de perlas y cristales - Modelo 30</t>
  </si>
  <si>
    <t>148.jpg</t>
  </si>
  <si>
    <t>Pendientes de perlas y cristales - Modelo 31</t>
  </si>
  <si>
    <t>149.jpg</t>
  </si>
  <si>
    <t>Pendientes de perlas y cristales - Modelo 32</t>
  </si>
  <si>
    <t>150.jpg</t>
  </si>
  <si>
    <t>Pendientes de perlas y cristales - Modelo 33</t>
  </si>
  <si>
    <t>151.jpg</t>
  </si>
  <si>
    <t>Pendientes de perlas y cristales - Modelo 34</t>
  </si>
  <si>
    <t>152.jpg</t>
  </si>
  <si>
    <t>Pendientes de perlas y cristales - Modelo 35</t>
  </si>
  <si>
    <t>153.jpg</t>
  </si>
  <si>
    <t>Pendientes de perlas y cristales - Modelo 36</t>
  </si>
  <si>
    <t>154.jpg</t>
  </si>
  <si>
    <t>Pendientes flor mini - Modelo 1</t>
  </si>
  <si>
    <t>155.jpg</t>
  </si>
  <si>
    <t>Pendientes pequeños de flor con acabado fresco y ligero.</t>
  </si>
  <si>
    <t>Pendientes flor mini - Modelo 2</t>
  </si>
  <si>
    <t>156.jpg</t>
  </si>
  <si>
    <t>Pendientes flor mini - Modelo 3</t>
  </si>
  <si>
    <t>157.jpg</t>
  </si>
  <si>
    <t>Pendientes flor mini - Modelo 4</t>
  </si>
  <si>
    <t>158.jpg</t>
  </si>
  <si>
    <t>Pendientes flor mini - Modelo 5</t>
  </si>
  <si>
    <t>159.jpg</t>
  </si>
  <si>
    <t>Pendientes flor mini - Modelo 6</t>
  </si>
  <si>
    <t>160.jpg</t>
  </si>
  <si>
    <t>Pendientes flor mini - Modelo 7</t>
  </si>
  <si>
    <t>161.jpg</t>
  </si>
  <si>
    <t>Pendientes flor mini - Modelo 8</t>
  </si>
  <si>
    <t>162.jpg</t>
  </si>
  <si>
    <t>Pendientes flor mini - Modelo 9</t>
  </si>
  <si>
    <t>163.jpg</t>
  </si>
  <si>
    <t>Pendientes flor mini - Modelo 10</t>
  </si>
  <si>
    <t>164.jpg</t>
  </si>
  <si>
    <t>Pendientes flor con borlas - Modelo 1</t>
  </si>
  <si>
    <t>165.jpg</t>
  </si>
  <si>
    <t>Pendientes largos de flor con borlas y caída elegante.</t>
  </si>
  <si>
    <t>Pendientes flor con borlas - Modelo 2</t>
  </si>
  <si>
    <t>166.jpg</t>
  </si>
  <si>
    <t>Pendientes flor con borlas - Modelo 3</t>
  </si>
  <si>
    <t>167.jpg</t>
  </si>
  <si>
    <t>Pendientes flor con borlas - Modelo 4</t>
  </si>
  <si>
    <t>168.jpg</t>
  </si>
  <si>
    <t>Pendientes flor con borlas - Modelo 5</t>
  </si>
  <si>
    <t>169.jpg</t>
  </si>
  <si>
    <t>Pendientes flor con borlas - Modelo 6</t>
  </si>
  <si>
    <t>170.jpg</t>
  </si>
  <si>
    <t>Pendientes flor con borlas - Modelo 7</t>
  </si>
  <si>
    <t>171.jpg</t>
  </si>
  <si>
    <t>Pendientes flor con borlas - Modelo 8</t>
  </si>
  <si>
    <t>172.jpg</t>
  </si>
  <si>
    <t>Pendientes pluma con cristal - Modelo 1</t>
  </si>
  <si>
    <t>173.jpg</t>
  </si>
  <si>
    <t>Pendientes ligeros con plumas y cristales de estilo étnico.</t>
  </si>
  <si>
    <t>Pendientes pluma con cristal - Modelo 2</t>
  </si>
  <si>
    <t>174.jpg</t>
  </si>
  <si>
    <t>Pendientes pluma con cristal - Modelo 3</t>
  </si>
  <si>
    <t>175.jpg</t>
  </si>
  <si>
    <t>Pendientes pluma con cristal - Modelo 4</t>
  </si>
  <si>
    <t>176.jpg</t>
  </si>
  <si>
    <t>Pendientes pluma con cristal - Modelo 5</t>
  </si>
  <si>
    <t>177.jpg</t>
  </si>
  <si>
    <t>Collar Monet de perlas - Modelo 1</t>
  </si>
  <si>
    <t>178.jpg</t>
  </si>
  <si>
    <t>Collar con perlas barrocas e inspiración artística Monet.</t>
  </si>
  <si>
    <t>Collar Monet de perlas - Modelo 2</t>
  </si>
  <si>
    <t>179.jpg</t>
  </si>
  <si>
    <t>Collar Monet de perlas - Modelo 3</t>
  </si>
  <si>
    <t>180.jpg</t>
  </si>
  <si>
    <t>Collar Monet de perlas - Modelo 4</t>
  </si>
  <si>
    <t>181.jpg</t>
  </si>
  <si>
    <t>Collar Monet de perlas - Modelo 5</t>
  </si>
  <si>
    <t>182.jpg</t>
  </si>
  <si>
    <t>Collar Monet de perlas - Modelo 6</t>
  </si>
  <si>
    <t>183.jpg</t>
  </si>
  <si>
    <t>Collar Monet de perlas - Modelo 7</t>
  </si>
  <si>
    <t>184.jpg</t>
  </si>
  <si>
    <t>Collar Monet de perlas - Modelo 8</t>
  </si>
  <si>
    <t>185.jpg</t>
  </si>
  <si>
    <t>Collar Monet de perlas - Modelo 9</t>
  </si>
  <si>
    <t>186.jpg</t>
  </si>
  <si>
    <t>Pendientes de fresa - Modelo 1</t>
  </si>
  <si>
    <t>187.jpg</t>
  </si>
  <si>
    <t>Pendientes dulces con detalle de fresa y esmalte de color.</t>
  </si>
  <si>
    <t>Pendientes de fresa - Modelo 2</t>
  </si>
  <si>
    <t>188.jpg</t>
  </si>
  <si>
    <t>Pendientes de fresa - Modelo 3</t>
  </si>
  <si>
    <t>189.jpg</t>
  </si>
  <si>
    <t>Accesorio barroco de perla - Modelo 1</t>
  </si>
  <si>
    <t>190.jpg</t>
  </si>
  <si>
    <t>Accesorio barroco con perla natural y aire vintage.</t>
  </si>
  <si>
    <t>Accesorio barroco de perla - Modelo 2</t>
  </si>
  <si>
    <t>191.jpg</t>
  </si>
  <si>
    <t>Accesorio barroco de perla - Modelo 3</t>
  </si>
  <si>
    <t>192.jpg</t>
  </si>
  <si>
    <t>Accesorio barroco de perla - Modelo 4</t>
  </si>
  <si>
    <t>193.jpg</t>
  </si>
  <si>
    <t>Accesorio barroco de perla - Modelo 5</t>
  </si>
  <si>
    <t>194.jpg</t>
  </si>
  <si>
    <t>Accesorio barroco de perla - Modelo 6</t>
  </si>
  <si>
    <t>195.jpg</t>
  </si>
  <si>
    <t>Accesorio barroco de perla - Modelo 7</t>
  </si>
  <si>
    <t>196.jpg</t>
  </si>
  <si>
    <t>Accesorio barroco de perla - Modelo 8</t>
  </si>
  <si>
    <t>197.jpg</t>
  </si>
  <si>
    <t>Accesorio barroco de perla - Modelo 9</t>
  </si>
  <si>
    <t>198.jpg</t>
  </si>
  <si>
    <t>Anillo barroco abierto - Modelo 1</t>
  </si>
  <si>
    <t>199.jpg</t>
  </si>
  <si>
    <t>Anillo abierto de inspiración barroca con acabado elegante.</t>
  </si>
  <si>
    <t>Anillo barroco abierto - Modelo 2</t>
  </si>
  <si>
    <t>200.jpg</t>
  </si>
  <si>
    <t>Anillo barroco abierto - Modelo 3</t>
  </si>
  <si>
    <t>201.jpg</t>
  </si>
  <si>
    <t>Pendientes retrato con borlas - Modelo 1</t>
  </si>
  <si>
    <t>202.jpg</t>
  </si>
  <si>
    <t>Pendientes con retrato decorativo, flores y borlas.</t>
  </si>
  <si>
    <t>Pendientes retrato con borlas - Modelo 2</t>
  </si>
  <si>
    <t>203.jpg</t>
  </si>
  <si>
    <t>Pendientes mariposa con perla - Modelo 1</t>
  </si>
  <si>
    <t>204.jpg</t>
  </si>
  <si>
    <t>Pendientes de mariposa con perla y detalle verde.</t>
  </si>
  <si>
    <t>Pendientes mariposa con perla - Modelo 2</t>
  </si>
  <si>
    <t>205.jpg</t>
  </si>
  <si>
    <t>Pendientes mariposa con perla - Modelo 3</t>
  </si>
  <si>
    <t>206.jpg</t>
  </si>
  <si>
    <t>Pendientes Monet - Modelo 1</t>
  </si>
  <si>
    <t>207.jpg</t>
  </si>
  <si>
    <t>Pendientes inspirados en Monet con acabado delicado y artístico.</t>
  </si>
  <si>
    <t>Pendientes Monet - Modelo 2</t>
  </si>
  <si>
    <t>208.jpg</t>
  </si>
  <si>
    <t>Pendientes Monet - Modelo 3</t>
  </si>
  <si>
    <t>209.jpg</t>
  </si>
  <si>
    <t>Pendientes Monet - Modelo 4</t>
  </si>
  <si>
    <t>210.jpg</t>
  </si>
  <si>
    <t>Pendientes Monet - Modelo 5</t>
  </si>
  <si>
    <t>211.jpg</t>
  </si>
  <si>
    <t>Pendientes Monet - Modelo 6</t>
  </si>
  <si>
    <t>212.jpg</t>
  </si>
  <si>
    <t>Pendientes mariposa y cristal - Modelo 1</t>
  </si>
  <si>
    <t>213.jpg</t>
  </si>
  <si>
    <t>Pendientes largos con mariposa y cristal morado.</t>
  </si>
  <si>
    <t>Pendientes mariposa y cristal - Modelo 2</t>
  </si>
  <si>
    <t>214.jpg</t>
  </si>
  <si>
    <t>Pendientes mariposa y cristal - Modelo 3</t>
  </si>
  <si>
    <t>215.jpg</t>
  </si>
  <si>
    <t>Pendientes mariposa y cristal - Modelo 4</t>
  </si>
  <si>
    <t>216.jpg</t>
  </si>
  <si>
    <t>Pendientes mariposa y cristal - Modelo 5</t>
  </si>
  <si>
    <t>217.jpg</t>
  </si>
  <si>
    <t>Pendientes mariposa y cristal - Modelo 6</t>
  </si>
  <si>
    <t>218.jpg</t>
  </si>
  <si>
    <t>Pendientes mariposa y cristal - Modelo 7</t>
  </si>
  <si>
    <t>219.jpg</t>
  </si>
  <si>
    <t>Pendientes mariposa y cristal - Modelo 8</t>
  </si>
  <si>
    <t>220.jpg</t>
  </si>
  <si>
    <t>Pendientes mariposa y cristal - Modelo 9</t>
  </si>
  <si>
    <t>221.jpg</t>
  </si>
  <si>
    <t>Pendientes mariposa y cristal - Modelo 10</t>
  </si>
  <si>
    <t>222.jpg</t>
  </si>
  <si>
    <t>Pendientes mariposa y cristal - Modelo 11</t>
  </si>
  <si>
    <t>223.jpg</t>
  </si>
  <si>
    <t>Bolso de felpa con cadena - Taro</t>
  </si>
  <si>
    <t>224.jpg</t>
  </si>
  <si>
    <t>Bolso de felpa con cadena y detalle divertido. Color Taro.</t>
  </si>
  <si>
    <t>Bolsos</t>
  </si>
  <si>
    <t>Bolso de felpa con cadena - Negro</t>
  </si>
  <si>
    <t>225.jpg</t>
  </si>
  <si>
    <t>Bolso de felpa con cadena y detalle divertido. Color Negro.</t>
  </si>
  <si>
    <t>Bolso de felpa con cadena - Rosa claro</t>
  </si>
  <si>
    <t>226.jpg</t>
  </si>
  <si>
    <t>Bolso de felpa con cadena y detalle divertido. Color Rosa claro.</t>
  </si>
  <si>
    <t>Bolso de felpa con cadena - Beige</t>
  </si>
  <si>
    <t>227.jpg</t>
  </si>
  <si>
    <t>Bolso de felpa con cadena y detalle divertido. Color Beige.</t>
  </si>
  <si>
    <t>Bolso de ratán perrito - Perrito</t>
  </si>
  <si>
    <t>228.jpg</t>
  </si>
  <si>
    <t>Bolso de ratán con diseño artesanal de perrito. Color Perrito.</t>
  </si>
  <si>
    <t>Bolso de ratán perrito - Natural</t>
  </si>
  <si>
    <t>229.jpg</t>
  </si>
  <si>
    <t>Bolso de ratán con diseño artesanal de perrito. Color Natural.</t>
  </si>
  <si>
    <t>Bolso de ratán perrito - Accesorios</t>
  </si>
  <si>
    <t>230.jpg</t>
  </si>
  <si>
    <t>Bolso de ratán con diseño artesanal de perrito. Color Accesorios.</t>
  </si>
  <si>
    <t>Bolso de ratán perrito - Mango de bambú - Modelo 1</t>
  </si>
  <si>
    <t>231.jpg</t>
  </si>
  <si>
    <t>Bolso de ratán con diseño artesanal de perrito. Color Mango de bambú.</t>
  </si>
  <si>
    <t>Bolso de ratán perrito - Mango de bambú - Modelo 2</t>
  </si>
  <si>
    <t>232.jpg</t>
  </si>
  <si>
    <t>Bolso de ratán perrito - Mango de bambú - Modelo 3</t>
  </si>
  <si>
    <t>233.jpg</t>
  </si>
  <si>
    <t>Bolso de ratán perrito - Mango de bambú - Modelo 4</t>
  </si>
  <si>
    <t>234.jpg</t>
  </si>
  <si>
    <t>Bolso de ratán perrito - Mango de bambú - Modelo 5</t>
  </si>
  <si>
    <t>235.jpg</t>
  </si>
  <si>
    <t>Bolso de ratán perrito - Mango de bambú - Modelo 6</t>
  </si>
  <si>
    <t>236.jpg</t>
  </si>
  <si>
    <t>Bolso de ratán perrito - Accesorios de correa de hombro larga de seis colores</t>
  </si>
  <si>
    <t>237.jpg</t>
  </si>
  <si>
    <t>Bolso de ratán con diseño artesanal de perrito. Color Accesorios de correa de hombro larga de seis colores.</t>
  </si>
  <si>
    <t>Bolso de ratán perrito - Mango de bambú - Modelo 7</t>
  </si>
  <si>
    <t>238.jpg</t>
  </si>
  <si>
    <t>Bolso de ratán perrito - Mango de bambú - Modelo 8</t>
  </si>
  <si>
    <t>239.jpg</t>
  </si>
  <si>
    <t>Bolso cubo bicolor - Azul</t>
  </si>
  <si>
    <t>240.jpg</t>
  </si>
  <si>
    <t>Bolso tipo cubo con contraste de color y look moderno. Color Azul.</t>
  </si>
  <si>
    <t>Bolso cubo bicolor - Negro</t>
  </si>
  <si>
    <t>241.jpg</t>
  </si>
  <si>
    <t>Bolso tipo cubo con contraste de color y look moderno. Color Negro.</t>
  </si>
  <si>
    <t>Bolso cubo bicolor - Blanco</t>
  </si>
  <si>
    <t>242.jpg</t>
  </si>
  <si>
    <t>Bolso tipo cubo con contraste de color y look moderno. Color Blanco.</t>
  </si>
  <si>
    <t>Bolso cubo bicolor - Blanco y negro</t>
  </si>
  <si>
    <t>243.jpg</t>
  </si>
  <si>
    <t>Bolso tipo cubo con contraste de color y look moderno. Color Blanco y negro.</t>
  </si>
  <si>
    <t>Bolso bowling retro</t>
  </si>
  <si>
    <t>244.jpg</t>
  </si>
  <si>
    <t>Bolso tipo bowling con textura retro y tamaño compacto.</t>
  </si>
  <si>
    <t>Bolso de hombro grande - Negro</t>
  </si>
  <si>
    <t>245.jpg</t>
  </si>
  <si>
    <t>Bolso de hombro amplio para uso diario. Color Negro.</t>
  </si>
  <si>
    <t>Bolso de hombro grande - Marrón</t>
  </si>
  <si>
    <t>246.jpg</t>
  </si>
  <si>
    <t>Bolso de hombro amplio para uso diario. Color Marrón.</t>
  </si>
  <si>
    <t>Bolso de hombro grande - Burdeos</t>
  </si>
  <si>
    <t>247.jpg</t>
  </si>
  <si>
    <t>Bolso de hombro amplio para uso diario. Color Burdeos.</t>
  </si>
  <si>
    <t>Bolso tweed pequeño - Tweed</t>
  </si>
  <si>
    <t>248.jpg</t>
  </si>
  <si>
    <t>Bolso pequeño de tweed con aire clásico. Color Tweed.</t>
  </si>
  <si>
    <t>Bolso mensajero básico - Negro</t>
  </si>
  <si>
    <t>249.jpg</t>
  </si>
  <si>
    <t>Bolso mensajero simple y fácil de combinar. Color Negro.</t>
  </si>
  <si>
    <t>Bolso de hombro a cuadros - Rosa</t>
  </si>
  <si>
    <t>250.jpg</t>
  </si>
  <si>
    <t>Bolso de hombro a cuadros con estilo dulce. Color Rosa.</t>
  </si>
  <si>
    <t>Bolso baguette - Negro</t>
  </si>
  <si>
    <t>251.jpg</t>
  </si>
  <si>
    <t>Bolso baguette de líneas limpias y estilo moderno. Color Negro.</t>
  </si>
  <si>
    <t>Bolso de viaje clásico - Marrón</t>
  </si>
  <si>
    <t>252.jpg</t>
  </si>
  <si>
    <t>Bolso versátil de viaje con formato cómodo. Color Marrón.</t>
  </si>
  <si>
    <t>Bolso bowling grande - Azul</t>
  </si>
  <si>
    <t>253.jpg</t>
  </si>
  <si>
    <t>Bolso bowling amplio con estilo retro. Color Azul.</t>
  </si>
  <si>
    <t>Bolso bowling grande - Negro</t>
  </si>
  <si>
    <t>254.jpg</t>
  </si>
  <si>
    <t>Bolso bowling amplio con estilo retro. Color Negro.</t>
  </si>
  <si>
    <t>Bolso bowling grande - Blanco</t>
  </si>
  <si>
    <t>255.jpg</t>
  </si>
  <si>
    <t>Bolso bowling amplio con estilo retro. Color Blanco.</t>
  </si>
  <si>
    <t>Bolso bowling grande - Marrón</t>
  </si>
  <si>
    <t>256.jpg</t>
  </si>
  <si>
    <t>Bolso bowling amplio con estilo retro. Color Marrón.</t>
  </si>
  <si>
    <t>Bolso bowling retro - Negro</t>
  </si>
  <si>
    <t>257.jpg</t>
  </si>
  <si>
    <t>Bolso tipo bowling con textura retro y tamaño compacto. Color Negro.</t>
  </si>
  <si>
    <t>Bolso bowling retro - Burdeos</t>
  </si>
  <si>
    <t>258.jpg</t>
  </si>
  <si>
    <t>Bolso tipo bowling con textura retro y tamaño compacto. Color Burdeos.</t>
  </si>
  <si>
    <t>Bolso denim Fat Cat - Azul denim</t>
  </si>
  <si>
    <t>259.jpg</t>
  </si>
  <si>
    <t>Bolso denim con diseño llamativo y estilo casual. Color Azul denim.</t>
  </si>
  <si>
    <t>Mini bolso de cordero - Caqui</t>
  </si>
  <si>
    <t>260.jpg</t>
  </si>
  <si>
    <t>Mini bolso suave con acabado de piel sintética. Color Caqui.</t>
  </si>
  <si>
    <t>Mini bolso de encaje</t>
  </si>
  <si>
    <t>261.jpg</t>
  </si>
  <si>
    <t>Mini bolso delicado con detalle de encaje.</t>
  </si>
  <si>
    <t>Bolso de noche irregular - Naranja</t>
  </si>
  <si>
    <t>262.jpg</t>
  </si>
  <si>
    <t>Bolso de noche estructurado con forma irregular. Color Naranja.</t>
  </si>
  <si>
    <t>Bolso de noche irregular - Morado claro</t>
  </si>
  <si>
    <t>263.jpg</t>
  </si>
  <si>
    <t>Bolso de noche estructurado con forma irregular. Color Morado claro.</t>
  </si>
  <si>
    <t>Bolso de fiesta pavo real - Plata</t>
  </si>
  <si>
    <t>264.jpg</t>
  </si>
  <si>
    <t>Bolso de fiesta con brillo y detalle inspirado en pavo real. Color Plata.</t>
  </si>
  <si>
    <t>Bolso de fiesta pavo real - Verde</t>
  </si>
  <si>
    <t>265.jpg</t>
  </si>
  <si>
    <t>Bolso de fiesta con brillo y detalle inspirado en pavo real. Color Verde.</t>
  </si>
  <si>
    <t>Bolso de fiesta pavo real - Negro</t>
  </si>
  <si>
    <t>266.jpg</t>
  </si>
  <si>
    <t>Bolso de fiesta con brillo y detalle inspirado en pavo real. Color Negro.</t>
  </si>
  <si>
    <t>Bolso floral de fiesta - Caqui</t>
  </si>
  <si>
    <t>267.jpg</t>
  </si>
  <si>
    <t>Bolso floral ideal para fiesta o evento. Color Caqui.</t>
  </si>
  <si>
    <t>Bolso floral de fiesta - Rosa</t>
  </si>
  <si>
    <t>268.jpg</t>
  </si>
  <si>
    <t>Bolso floral ideal para fiesta o evento. Color Rosa.</t>
  </si>
  <si>
    <t>Bolso floral de fiesta - Blanco roto</t>
  </si>
  <si>
    <t>269.jpg</t>
  </si>
  <si>
    <t>Bolso floral ideal para fiesta o evento. Color Blanco roto.</t>
  </si>
  <si>
    <t>Bolso floral de novia - Champán</t>
  </si>
  <si>
    <t>270.jpg</t>
  </si>
  <si>
    <t>Bolso floral elegante para novia o ceremonia. Color Champán.</t>
  </si>
  <si>
    <t>Bolso floral de novia - Rosa</t>
  </si>
  <si>
    <t>271.jpg</t>
  </si>
  <si>
    <t>Bolso floral elegante para novia o ceremonia. Color Rosa.</t>
  </si>
  <si>
    <t>Bolso floral de novia - Negro</t>
  </si>
  <si>
    <t>272.jpg</t>
  </si>
  <si>
    <t>Bolso floral elegante para novia o ceremonia. Color Negro.</t>
  </si>
  <si>
    <t>Bolso cubo texturizado - Caqui</t>
  </si>
  <si>
    <t>273.jpg</t>
  </si>
  <si>
    <t>Bolso cubo con textura marcada y look elegante. Color Caqui.</t>
  </si>
  <si>
    <t>Bolso cubo texturizado - Negro</t>
  </si>
  <si>
    <t>274.jpg</t>
  </si>
  <si>
    <t>Bolso cubo con textura marcada y look elegante. Color Negro.</t>
  </si>
  <si>
    <t>Bolso cubo texturizado - Marrón - Modelo 1</t>
  </si>
  <si>
    <t>275.jpg</t>
  </si>
  <si>
    <t>Bolso cubo con textura marcada y look elegante. Color Marrón.</t>
  </si>
  <si>
    <t>Bolso cubo texturizado - Marrón - Modelo 2</t>
  </si>
  <si>
    <t>276.jpg</t>
  </si>
  <si>
    <t>Bolso retro afelpado - Marrón</t>
  </si>
  <si>
    <t>277.jpg</t>
  </si>
  <si>
    <t>Bolso suave con acabado afelpado y estilo retro. Color Marrón.</t>
  </si>
  <si>
    <t>Bolso retro afelpado - Rosa</t>
  </si>
  <si>
    <t>278.jpg</t>
  </si>
  <si>
    <t>Bolso suave con acabado afelpado y estilo retro. Color Rosa.</t>
  </si>
  <si>
    <t>Bolso media luna - Negro</t>
  </si>
  <si>
    <t>279.jpg</t>
  </si>
  <si>
    <t>Bolso media luna cómodo para uso diario. Color Negro.</t>
  </si>
  <si>
    <t>Bolso media luna - Blanco luz de luna</t>
  </si>
  <si>
    <t>280.jpg</t>
  </si>
  <si>
    <t>Bolso media luna cómodo para uso diario. Color Blanco luz de luna.</t>
  </si>
  <si>
    <t>Bolso media luna - Rojo cereza</t>
  </si>
  <si>
    <t>281.jpg</t>
  </si>
  <si>
    <t>Bolso media luna cómodo para uso diario. Color Rojo cereza.</t>
  </si>
  <si>
    <t>Bolso media luna - Marrón retro</t>
  </si>
  <si>
    <t>282.jpg</t>
  </si>
  <si>
    <t>Bolso media luna cómodo para uso diario. Color Marrón retro.</t>
  </si>
  <si>
    <t>Bolso media luna - Castaño</t>
  </si>
  <si>
    <t>283.jpg</t>
  </si>
  <si>
    <t>Bolso media luna cómodo para uso diario. Color Castaño.</t>
  </si>
  <si>
    <t>Bolso Maillard - Rosa</t>
  </si>
  <si>
    <t>284.jpg</t>
  </si>
  <si>
    <t>Bolso de tonos neutros con estética Maillard. Color Rosa.</t>
  </si>
  <si>
    <t>Bolso Maillard - Blanco roto</t>
  </si>
  <si>
    <t>285.jpg</t>
  </si>
  <si>
    <t>Bolso de tonos neutros con estética Maillard. Color Blanco roto.</t>
  </si>
  <si>
    <t>Bolso Maillard - Negro</t>
  </si>
  <si>
    <t>286.jpg</t>
  </si>
  <si>
    <t>Bolso de tonos neutros con estética Maillard. Color Negro.</t>
  </si>
  <si>
    <t>Bolso mensajero creativo - Rosa</t>
  </si>
  <si>
    <t>287.jpg</t>
  </si>
  <si>
    <t>Bolso mensajero con diseño creativo y juvenil. Color Rosa.</t>
  </si>
  <si>
    <t>Bolso mensajero creativo - Blanco</t>
  </si>
  <si>
    <t>288.jpg</t>
  </si>
  <si>
    <t>Bolso mensajero con diseño creativo y juvenil. Color Blanco.</t>
  </si>
  <si>
    <t>Bolso mensajero creativo - Rosa intenso</t>
  </si>
  <si>
    <t>289.jpg</t>
  </si>
  <si>
    <t>Bolso mensajero con diseño creativo y juvenil. Color Rosa intenso.</t>
  </si>
  <si>
    <t>Bolso mensajero creativo - Negro</t>
  </si>
  <si>
    <t>290.jpg</t>
  </si>
  <si>
    <t>Bolso mensajero con diseño creativo y juvenil. Color Negro.</t>
  </si>
  <si>
    <t>Bolso estampado artístico - Rosa</t>
  </si>
  <si>
    <t>291.jpg</t>
  </si>
  <si>
    <t>Bolso de hombro con estampado artístico. Color Rosa.</t>
  </si>
  <si>
    <t>Bolso estampado artístico - Negro</t>
  </si>
  <si>
    <t>292.jpg</t>
  </si>
  <si>
    <t>Bolso de hombro con estampado artístico. Color Negro.</t>
  </si>
  <si>
    <t>Bolso corazón con cadena - Rojo</t>
  </si>
  <si>
    <t>293.jpg</t>
  </si>
  <si>
    <t>Bolso pequeño con detalle de corazón y cadena. Color Rojo.</t>
  </si>
  <si>
    <t>Bolso corazón con cadena - Negro</t>
  </si>
  <si>
    <t>294.jpg</t>
  </si>
  <si>
    <t>Bolso pequeño con detalle de corazón y cadena. Color Negro.</t>
  </si>
  <si>
    <t>Bolso denim con borlas - Azul</t>
  </si>
  <si>
    <t>295.jpg</t>
  </si>
  <si>
    <t>Bolso denim con borlas y aire casual. Color Azul.</t>
  </si>
  <si>
    <t>Bolso denim con borlas - Negro</t>
  </si>
  <si>
    <t>296.jpg</t>
  </si>
  <si>
    <t>Bolso denim con borlas y aire casual. Color Negro.</t>
  </si>
  <si>
    <t>Bolso denim con borlas - Azul oscuro</t>
  </si>
  <si>
    <t>297.jpg</t>
  </si>
  <si>
    <t>Bolso denim con borlas y aire casual. Color Azul oscuro.</t>
  </si>
  <si>
    <t>Bolso biker con lazo - Azul</t>
  </si>
  <si>
    <t>298.jpg</t>
  </si>
  <si>
    <t>Bolso de hombro con lazo metálico y estilo biker. Color Azul.</t>
  </si>
  <si>
    <t>Bolso biker con lazo - Negro</t>
  </si>
  <si>
    <t>299.jpg</t>
  </si>
  <si>
    <t>Bolso de hombro con lazo metálico y estilo biker. Color Negro.</t>
  </si>
  <si>
    <t>Bolso biker con lazo - Plata</t>
  </si>
  <si>
    <t>300.jpg</t>
  </si>
  <si>
    <t>Bolso de hombro con lazo metálico y estilo biker. Color Plata.</t>
  </si>
  <si>
    <t>Bolso cruzado impermeable azul lago</t>
  </si>
  <si>
    <t>301.jpg</t>
  </si>
  <si>
    <t>Bolso cruzado impermeable estilo deportivo en color azul lago.</t>
  </si>
  <si>
    <t>Bolso cruzado impermeable naranja</t>
  </si>
  <si>
    <t>302.jpg</t>
  </si>
  <si>
    <t>Bolso cruzado impermeable estilo deportivo en color naranja.</t>
  </si>
  <si>
    <t>Bolso cruzado impermeable verde militar</t>
  </si>
  <si>
    <t>303.jpg</t>
  </si>
  <si>
    <t>Bolso cruzado impermeable estilo deportivo en color verde militar.</t>
  </si>
  <si>
    <t>Bolso cruzado impermeable azul marino</t>
  </si>
  <si>
    <t>304.jpg</t>
  </si>
  <si>
    <t>Bolso cruzado impermeable estilo deportivo en color azul marino.</t>
  </si>
  <si>
    <t>Bolso cruzado impermeable gris</t>
  </si>
  <si>
    <t>305.jpg</t>
  </si>
  <si>
    <t>Bolso cruzado impermeable estilo deportivo en color gris.</t>
  </si>
  <si>
    <t>Bolso cruzado impermeable azul real</t>
  </si>
  <si>
    <t>306.jpg</t>
  </si>
  <si>
    <t>Bolso cruzado impermeable estilo deportivo en color azul real.</t>
  </si>
  <si>
    <t>Bolso cruzado impermeable negro</t>
  </si>
  <si>
    <t>307.jpg</t>
  </si>
  <si>
    <t>Bolso cruzado impermeable estilo deportivo en color negro.</t>
  </si>
  <si>
    <t>Bolso bandolera vintage negro</t>
  </si>
  <si>
    <t>308.jpg</t>
  </si>
  <si>
    <t>Bolso bandolera vintage en color negro.</t>
  </si>
  <si>
    <t>Bolso bandolera vintage marrón</t>
  </si>
  <si>
    <t>309.jpg</t>
  </si>
  <si>
    <t>Bolso bandolera vintage en color marrón.</t>
  </si>
  <si>
    <t>Bolso bandolera vintage caqui</t>
  </si>
  <si>
    <t>310.jpg</t>
  </si>
  <si>
    <t>Bolso bandolera vintage en color caqui.</t>
  </si>
  <si>
    <t>Licuadora portátil 1300 ml azul</t>
  </si>
  <si>
    <t>311.jpg</t>
  </si>
  <si>
    <t>Licuadora portátil de 1300 ml con cuchilla de 38 hojas, color azul.</t>
  </si>
  <si>
    <t>Otros</t>
  </si>
  <si>
    <t>Licuadora portátil 1300 ml blanca</t>
  </si>
  <si>
    <t>312.jpg</t>
  </si>
  <si>
    <t>Licuadora portátil de 1300 ml con cuchilla de 38 hojas, color blanco.</t>
  </si>
  <si>
    <t>Vaso térmico jardín rosa blanca 500 ml</t>
  </si>
  <si>
    <t>313.jpg</t>
  </si>
  <si>
    <t>Vaso térmico de 500 ml con diseño jardín rosa blanca.</t>
  </si>
  <si>
    <t>Vaso térmico jardín girasol 500 ml</t>
  </si>
  <si>
    <t>314.jpg</t>
  </si>
  <si>
    <t>Vaso térmico de 500 ml con diseño jardín girasol.</t>
  </si>
  <si>
    <t>Vaso térmico jardín adelfa 500 ml</t>
  </si>
  <si>
    <t>315.jpg</t>
  </si>
  <si>
    <t>Vaso térmico de 500 ml con diseño jardín adelfa.</t>
  </si>
  <si>
    <t>Vaso térmico jardín lirio 500 ml</t>
  </si>
  <si>
    <t>316.jpg</t>
  </si>
  <si>
    <t>Vaso térmico de 500 ml con diseño jardín lirio.</t>
  </si>
  <si>
    <t>Termo labubu 420 ml blanco marfil</t>
  </si>
  <si>
    <t>317.jpg</t>
  </si>
  <si>
    <t>Termo de 420 ml en color blanco marfil.</t>
  </si>
  <si>
    <t>Termo labubu 420 ml rosa</t>
  </si>
  <si>
    <t>318.jpg</t>
  </si>
  <si>
    <t>Termo de 420 ml en color rosa.</t>
  </si>
  <si>
    <t>Termo labubu 420 ml durazno</t>
  </si>
  <si>
    <t>319.jpg</t>
  </si>
  <si>
    <t>Termo de 420 ml en color durazno.</t>
  </si>
  <si>
    <t>Termo labubu 420 ml negro</t>
  </si>
  <si>
    <t>320.jpg</t>
  </si>
  <si>
    <t>Termo de 420 ml en color negro.</t>
  </si>
  <si>
    <t>Termo labubu 420 ml azul cielo</t>
  </si>
  <si>
    <t>321.jpg</t>
  </si>
  <si>
    <t>Termo de 420 ml en color azul cielo.</t>
  </si>
  <si>
    <t>Taza termo 14 oz rosa roja</t>
  </si>
  <si>
    <t>322.jpg</t>
  </si>
  <si>
    <t>Taza termo de 14 oz con diseño rosa roja.</t>
  </si>
  <si>
    <t>Taza termo 14 oz magnolia azul</t>
  </si>
  <si>
    <t>323.jpg</t>
  </si>
  <si>
    <t>Taza termo de 14 oz con diseño magnolia azul.</t>
  </si>
  <si>
    <t>Taza termo 14 oz granada rosa</t>
  </si>
  <si>
    <t>324.jpg</t>
  </si>
  <si>
    <t>Taza termo de 14 oz con diseño granada rosa.</t>
  </si>
  <si>
    <t>Taza termo 14 oz rosa claro</t>
  </si>
  <si>
    <t>325.jpg</t>
  </si>
  <si>
    <t>Taza termo de 14 oz con diseño rosa claro.</t>
  </si>
  <si>
    <t>Taza termo 14 oz granada azul</t>
  </si>
  <si>
    <t>326.jpg</t>
  </si>
  <si>
    <t>Taza termo de 14 oz con diseño granada azul.</t>
  </si>
  <si>
    <t>Taza termo 14 oz hibisco púrpura</t>
  </si>
  <si>
    <t>327.jpg</t>
  </si>
  <si>
    <t>Taza termo de 14 oz con diseño hibisco púrpura.</t>
  </si>
  <si>
    <t>Taza termo 40 oz hibisco púrpura</t>
  </si>
  <si>
    <t>328.jpg</t>
  </si>
  <si>
    <t>Taza termo de 40 oz con diseño hibisco púrpura.</t>
  </si>
  <si>
    <t>Taza termo 40 oz rosa claro</t>
  </si>
  <si>
    <t>329.jpg</t>
  </si>
  <si>
    <t>Taza termo de 40 oz con diseño rosa claro.</t>
  </si>
  <si>
    <t>Taza termo 40 oz granada rosa</t>
  </si>
  <si>
    <t>330.jpg</t>
  </si>
  <si>
    <t>Taza termo de 40 oz con diseño granada rosa.</t>
  </si>
  <si>
    <t>Taza termo 40 oz rosa roja</t>
  </si>
  <si>
    <t>331.jpg</t>
  </si>
  <si>
    <t>Taza termo de 40 oz con diseño rosa roja.</t>
  </si>
  <si>
    <t>Taza termo 40 oz jazmin</t>
  </si>
  <si>
    <t>332.jpg</t>
  </si>
  <si>
    <t>Taza termo de 40 oz con diseño granada azul.</t>
  </si>
  <si>
    <t>Taza termo 40 oz girasoles</t>
  </si>
  <si>
    <t>333.jpg</t>
  </si>
  <si>
    <t>Taza termo de 40 oz con diseño magnolia azul.</t>
  </si>
  <si>
    <t>Taza termo VOGE rosada</t>
  </si>
  <si>
    <t>334.jpg</t>
  </si>
  <si>
    <t>Taza termo VOGE en color rosado.</t>
  </si>
  <si>
    <t>Taza termo VOGE negra</t>
  </si>
  <si>
    <t>335.jpg</t>
  </si>
  <si>
    <t>Taza termo VOGE en color negro.</t>
  </si>
  <si>
    <t>Taza termo VOGE blanca</t>
  </si>
  <si>
    <t>336.jpg</t>
  </si>
  <si>
    <t>Taza termo VOGE en color blanco.</t>
  </si>
  <si>
    <t>Licuadora portátil rosa doble vaso</t>
  </si>
  <si>
    <t>337.jpg</t>
  </si>
  <si>
    <t>Licuadora portátil recargable en color rosa, 6 cuchillas y doble vaso.</t>
  </si>
  <si>
    <t>Licuadora portátil negra doble vaso</t>
  </si>
  <si>
    <t>338.jpg</t>
  </si>
  <si>
    <t>Licuadora portátil recargable en color negro, 6 cuchillas y doble vaso.</t>
  </si>
  <si>
    <t>Licuadora + tomatodo 350 ml</t>
  </si>
  <si>
    <t>339.jpg</t>
  </si>
  <si>
    <t>Licuadora portátil de 350 ml tipo tomatodo con doble batería.</t>
  </si>
  <si>
    <t>Vaso Tea Princess blanco 500 ml</t>
  </si>
  <si>
    <t>340.jpg</t>
  </si>
  <si>
    <t>Vaso de 500 ml en acero inoxidable 316, color blanco.</t>
  </si>
  <si>
    <t>Vaso Flower Language blanco 500 ml</t>
  </si>
  <si>
    <t>341.jpg</t>
  </si>
  <si>
    <t>Vaso Flower Language negro 500 ml</t>
  </si>
  <si>
    <t>342.jpg</t>
  </si>
  <si>
    <t>Vaso de 500 ml en acero inoxidable 316, color negro.</t>
  </si>
  <si>
    <t>Vaso flor de cerezo blanco 500 ml</t>
  </si>
  <si>
    <t>343.jpg</t>
  </si>
  <si>
    <t>Vaso de 500 ml en acero inoxidable 316 con diseño flor de cerezo blanco.</t>
  </si>
  <si>
    <t>Vaso Tea Princess negro 500 ml</t>
  </si>
  <si>
    <t>344.jpg</t>
  </si>
  <si>
    <t>Variable</t>
  </si>
  <si>
    <t>Valor</t>
  </si>
  <si>
    <t>Notas</t>
  </si>
  <si>
    <t>ON</t>
  </si>
  <si>
    <t>Usa ON u OFF para activar o apagar el descuento global.</t>
  </si>
  <si>
    <t>Porcentaje global aplicado a todo el catálogo.</t>
  </si>
  <si>
    <t>follow+like+comenta=15%</t>
  </si>
  <si>
    <t>Texto promocional mostrado en la web.</t>
  </si>
  <si>
    <t>Termo 420 ml blanco marfil</t>
  </si>
  <si>
    <t>Termo 420 ml rosa</t>
  </si>
  <si>
    <t>Termo 420 ml durazno</t>
  </si>
  <si>
    <t>Termo 420 ml negro</t>
  </si>
  <si>
    <t>Termo 420 ml azul cielo</t>
  </si>
  <si>
    <t>Taza termo 40 oz granada azul</t>
  </si>
  <si>
    <t>Taza termo 40 oz magnolia azul</t>
  </si>
  <si>
    <t>Collar y Pulsera Murano Violeta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</si>
</sst>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5"/>
  <sheetViews>
    <sheetView tabSelected="1" topLeftCell="A58" workbookViewId="0">
      <selection activeCell="C74" sqref="C74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5" width="52" customWidth="1"/>
    <col min="6" max="6" width="14" customWidth="1"/>
    <col min="7" max="7" width="10" customWidth="1"/>
    <col min="8" max="8" width="14" customWidth="1"/>
    <col min="9" max="9" width="12" customWidth="1"/>
    <col min="10" max="10" width="26" customWidth="1"/>
    <col min="11" max="11" width="18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2" t="s">
        <v>11</v>
      </c>
      <c r="C2" s="3">
        <v>50</v>
      </c>
      <c r="D2" s="2" t="s">
        <v>12</v>
      </c>
      <c r="E2" s="2" t="s">
        <v>13</v>
      </c>
      <c r="F2" s="2" t="s">
        <v>14</v>
      </c>
      <c r="G2" s="2">
        <v>5</v>
      </c>
      <c r="H2" s="2" t="str">
        <f>Configuracion!$B$2</f>
        <v>ON</v>
      </c>
      <c r="I2" s="4">
        <f>Configuracion!$B$3</f>
        <v>0.15</v>
      </c>
      <c r="J2" s="2" t="str">
        <f>IF(UPPER(Configuracion!$B$2)="ON",Configuracion!$B$4,"")</f>
        <v>follow+like+comenta=15%</v>
      </c>
      <c r="K2" s="3">
        <f>IF(UPPER(Configuracion!$B$2)="ON",ROUND(C2*(1-Configuracion!$B$3),0),ROUND(C2,0))</f>
        <v>43</v>
      </c>
    </row>
    <row r="3" spans="1:11" x14ac:dyDescent="0.35">
      <c r="A3" s="2">
        <v>2</v>
      </c>
      <c r="B3" s="2" t="s">
        <v>15</v>
      </c>
      <c r="C3" s="3">
        <v>50</v>
      </c>
      <c r="D3" s="2" t="s">
        <v>16</v>
      </c>
      <c r="E3" s="2" t="s">
        <v>13</v>
      </c>
      <c r="F3" s="2" t="s">
        <v>14</v>
      </c>
      <c r="G3" s="2">
        <v>5</v>
      </c>
      <c r="H3" s="2" t="str">
        <f>Configuracion!$B$2</f>
        <v>ON</v>
      </c>
      <c r="I3" s="4">
        <f>Configuracion!$B$3</f>
        <v>0.15</v>
      </c>
      <c r="J3" s="2" t="str">
        <f>IF(UPPER(Configuracion!$B$2)="ON",Configuracion!$B$4,"")</f>
        <v>follow+like+comenta=15%</v>
      </c>
      <c r="K3" s="3">
        <f>IF(UPPER(Configuracion!$B$2)="ON",ROUND(C3*(1-Configuracion!$B$3),0),ROUND(C3,0))</f>
        <v>43</v>
      </c>
    </row>
    <row r="4" spans="1:11" x14ac:dyDescent="0.35">
      <c r="A4" s="2">
        <v>3</v>
      </c>
      <c r="B4" s="2" t="s">
        <v>17</v>
      </c>
      <c r="C4" s="3">
        <v>55</v>
      </c>
      <c r="D4" s="2" t="s">
        <v>18</v>
      </c>
      <c r="E4" s="2" t="s">
        <v>13</v>
      </c>
      <c r="F4" s="2" t="s">
        <v>14</v>
      </c>
      <c r="G4" s="2">
        <v>5</v>
      </c>
      <c r="H4" s="2" t="str">
        <f>Configuracion!$B$2</f>
        <v>ON</v>
      </c>
      <c r="I4" s="4">
        <f>Configuracion!$B$3</f>
        <v>0.15</v>
      </c>
      <c r="J4" s="2" t="str">
        <f>IF(UPPER(Configuracion!$B$2)="ON",Configuracion!$B$4,"")</f>
        <v>follow+like+comenta=15%</v>
      </c>
      <c r="K4" s="3">
        <f>IF(UPPER(Configuracion!$B$2)="ON",ROUND(C4*(1-Configuracion!$B$3),0),ROUND(C4,0))</f>
        <v>47</v>
      </c>
    </row>
    <row r="5" spans="1:11" x14ac:dyDescent="0.35">
      <c r="A5" s="2">
        <v>4</v>
      </c>
      <c r="B5" s="2" t="s">
        <v>19</v>
      </c>
      <c r="C5" s="3">
        <v>55</v>
      </c>
      <c r="D5" s="2" t="s">
        <v>20</v>
      </c>
      <c r="E5" s="2" t="s">
        <v>13</v>
      </c>
      <c r="F5" s="2" t="s">
        <v>14</v>
      </c>
      <c r="G5" s="2">
        <v>5</v>
      </c>
      <c r="H5" s="2" t="str">
        <f>Configuracion!$B$2</f>
        <v>ON</v>
      </c>
      <c r="I5" s="4">
        <f>Configuracion!$B$3</f>
        <v>0.15</v>
      </c>
      <c r="J5" s="2" t="str">
        <f>IF(UPPER(Configuracion!$B$2)="ON",Configuracion!$B$4,"")</f>
        <v>follow+like+comenta=15%</v>
      </c>
      <c r="K5" s="3">
        <f>IF(UPPER(Configuracion!$B$2)="ON",ROUND(C5*(1-Configuracion!$B$3),0),ROUND(C5,0))</f>
        <v>47</v>
      </c>
    </row>
    <row r="6" spans="1:11" x14ac:dyDescent="0.35">
      <c r="A6" s="2">
        <v>5</v>
      </c>
      <c r="B6" s="2" t="s">
        <v>21</v>
      </c>
      <c r="C6" s="3">
        <v>50</v>
      </c>
      <c r="D6" s="2" t="s">
        <v>22</v>
      </c>
      <c r="E6" s="2" t="s">
        <v>13</v>
      </c>
      <c r="F6" s="2" t="s">
        <v>14</v>
      </c>
      <c r="G6" s="2">
        <v>5</v>
      </c>
      <c r="H6" s="2" t="str">
        <f>Configuracion!$B$2</f>
        <v>ON</v>
      </c>
      <c r="I6" s="4">
        <f>Configuracion!$B$3</f>
        <v>0.15</v>
      </c>
      <c r="J6" s="2" t="str">
        <f>IF(UPPER(Configuracion!$B$2)="ON",Configuracion!$B$4,"")</f>
        <v>follow+like+comenta=15%</v>
      </c>
      <c r="K6" s="3">
        <f>IF(UPPER(Configuracion!$B$2)="ON",ROUND(C6*(1-Configuracion!$B$3),0),ROUND(C6,0))</f>
        <v>43</v>
      </c>
    </row>
    <row r="7" spans="1:11" x14ac:dyDescent="0.35">
      <c r="A7" s="2">
        <v>6</v>
      </c>
      <c r="B7" s="2" t="s">
        <v>23</v>
      </c>
      <c r="C7" s="3">
        <v>40</v>
      </c>
      <c r="D7" s="2" t="s">
        <v>24</v>
      </c>
      <c r="E7" s="2" t="s">
        <v>13</v>
      </c>
      <c r="F7" s="2" t="s">
        <v>14</v>
      </c>
      <c r="G7" s="2">
        <v>5</v>
      </c>
      <c r="H7" s="2" t="str">
        <f>Configuracion!$B$2</f>
        <v>ON</v>
      </c>
      <c r="I7" s="4">
        <f>Configuracion!$B$3</f>
        <v>0.15</v>
      </c>
      <c r="J7" s="2" t="str">
        <f>IF(UPPER(Configuracion!$B$2)="ON",Configuracion!$B$4,"")</f>
        <v>follow+like+comenta=15%</v>
      </c>
      <c r="K7" s="3">
        <f>IF(UPPER(Configuracion!$B$2)="ON",ROUND(C7*(1-Configuracion!$B$3),0),ROUND(C7,0))</f>
        <v>34</v>
      </c>
    </row>
    <row r="8" spans="1:11" x14ac:dyDescent="0.35">
      <c r="A8" s="2">
        <v>7</v>
      </c>
      <c r="B8" s="2" t="s">
        <v>25</v>
      </c>
      <c r="C8" s="3">
        <v>50</v>
      </c>
      <c r="D8" s="2" t="s">
        <v>26</v>
      </c>
      <c r="E8" s="2" t="s">
        <v>13</v>
      </c>
      <c r="F8" s="2" t="s">
        <v>14</v>
      </c>
      <c r="G8" s="2">
        <v>5</v>
      </c>
      <c r="H8" s="2" t="str">
        <f>Configuracion!$B$2</f>
        <v>ON</v>
      </c>
      <c r="I8" s="4">
        <f>Configuracion!$B$3</f>
        <v>0.15</v>
      </c>
      <c r="J8" s="2" t="str">
        <f>IF(UPPER(Configuracion!$B$2)="ON",Configuracion!$B$4,"")</f>
        <v>follow+like+comenta=15%</v>
      </c>
      <c r="K8" s="3">
        <f>IF(UPPER(Configuracion!$B$2)="ON",ROUND(C8*(1-Configuracion!$B$3),0),ROUND(C8,0))</f>
        <v>43</v>
      </c>
    </row>
    <row r="9" spans="1:11" x14ac:dyDescent="0.35">
      <c r="A9" s="2">
        <v>8</v>
      </c>
      <c r="B9" s="2" t="s">
        <v>27</v>
      </c>
      <c r="C9" s="3">
        <v>40</v>
      </c>
      <c r="D9" s="2" t="s">
        <v>28</v>
      </c>
      <c r="E9" s="2" t="s">
        <v>13</v>
      </c>
      <c r="F9" s="2" t="s">
        <v>14</v>
      </c>
      <c r="G9" s="2">
        <v>5</v>
      </c>
      <c r="H9" s="2" t="str">
        <f>Configuracion!$B$2</f>
        <v>ON</v>
      </c>
      <c r="I9" s="4">
        <f>Configuracion!$B$3</f>
        <v>0.15</v>
      </c>
      <c r="J9" s="2" t="str">
        <f>IF(UPPER(Configuracion!$B$2)="ON",Configuracion!$B$4,"")</f>
        <v>follow+like+comenta=15%</v>
      </c>
      <c r="K9" s="3">
        <f>IF(UPPER(Configuracion!$B$2)="ON",ROUND(C9*(1-Configuracion!$B$3),0),ROUND(C9,0))</f>
        <v>34</v>
      </c>
    </row>
    <row r="10" spans="1:11" x14ac:dyDescent="0.35">
      <c r="A10" s="2">
        <v>9</v>
      </c>
      <c r="B10" s="2" t="s">
        <v>29</v>
      </c>
      <c r="C10" s="3">
        <v>55</v>
      </c>
      <c r="D10" s="2" t="s">
        <v>30</v>
      </c>
      <c r="E10" s="2" t="s">
        <v>13</v>
      </c>
      <c r="F10" s="2" t="s">
        <v>14</v>
      </c>
      <c r="G10" s="2">
        <v>5</v>
      </c>
      <c r="H10" s="2" t="str">
        <f>Configuracion!$B$2</f>
        <v>ON</v>
      </c>
      <c r="I10" s="4">
        <f>Configuracion!$B$3</f>
        <v>0.15</v>
      </c>
      <c r="J10" s="2" t="str">
        <f>IF(UPPER(Configuracion!$B$2)="ON",Configuracion!$B$4,"")</f>
        <v>follow+like+comenta=15%</v>
      </c>
      <c r="K10" s="3">
        <f>IF(UPPER(Configuracion!$B$2)="ON",ROUND(C10*(1-Configuracion!$B$3),0),ROUND(C10,0))</f>
        <v>47</v>
      </c>
    </row>
    <row r="11" spans="1:11" x14ac:dyDescent="0.35">
      <c r="A11" s="2">
        <v>10</v>
      </c>
      <c r="B11" s="2" t="s">
        <v>31</v>
      </c>
      <c r="C11" s="3">
        <v>50</v>
      </c>
      <c r="D11" s="2" t="s">
        <v>32</v>
      </c>
      <c r="E11" s="2" t="s">
        <v>13</v>
      </c>
      <c r="F11" s="2" t="s">
        <v>14</v>
      </c>
      <c r="G11" s="2">
        <v>5</v>
      </c>
      <c r="H11" s="2" t="str">
        <f>Configuracion!$B$2</f>
        <v>ON</v>
      </c>
      <c r="I11" s="4">
        <f>Configuracion!$B$3</f>
        <v>0.15</v>
      </c>
      <c r="J11" s="2" t="str">
        <f>IF(UPPER(Configuracion!$B$2)="ON",Configuracion!$B$4,"")</f>
        <v>follow+like+comenta=15%</v>
      </c>
      <c r="K11" s="3">
        <f>IF(UPPER(Configuracion!$B$2)="ON",ROUND(C11*(1-Configuracion!$B$3),0),ROUND(C11,0))</f>
        <v>43</v>
      </c>
    </row>
    <row r="12" spans="1:11" x14ac:dyDescent="0.35">
      <c r="A12" s="2">
        <v>11</v>
      </c>
      <c r="B12" s="2" t="s">
        <v>33</v>
      </c>
      <c r="C12" s="3">
        <v>50</v>
      </c>
      <c r="D12" s="2" t="s">
        <v>34</v>
      </c>
      <c r="E12" s="2" t="s">
        <v>13</v>
      </c>
      <c r="F12" s="2" t="s">
        <v>14</v>
      </c>
      <c r="G12" s="2">
        <v>5</v>
      </c>
      <c r="H12" s="2" t="str">
        <f>Configuracion!$B$2</f>
        <v>ON</v>
      </c>
      <c r="I12" s="4">
        <f>Configuracion!$B$3</f>
        <v>0.15</v>
      </c>
      <c r="J12" s="2" t="str">
        <f>IF(UPPER(Configuracion!$B$2)="ON",Configuracion!$B$4,"")</f>
        <v>follow+like+comenta=15%</v>
      </c>
      <c r="K12" s="3">
        <f>IF(UPPER(Configuracion!$B$2)="ON",ROUND(C12*(1-Configuracion!$B$3),0),ROUND(C12,0))</f>
        <v>43</v>
      </c>
    </row>
    <row r="13" spans="1:11" x14ac:dyDescent="0.35">
      <c r="A13" s="2">
        <v>12</v>
      </c>
      <c r="B13" s="2" t="s">
        <v>35</v>
      </c>
      <c r="C13" s="3">
        <v>50</v>
      </c>
      <c r="D13" s="2" t="s">
        <v>36</v>
      </c>
      <c r="E13" s="2" t="s">
        <v>13</v>
      </c>
      <c r="F13" s="2" t="s">
        <v>14</v>
      </c>
      <c r="G13" s="2">
        <v>5</v>
      </c>
      <c r="H13" s="2" t="str">
        <f>Configuracion!$B$2</f>
        <v>ON</v>
      </c>
      <c r="I13" s="4">
        <f>Configuracion!$B$3</f>
        <v>0.15</v>
      </c>
      <c r="J13" s="2" t="str">
        <f>IF(UPPER(Configuracion!$B$2)="ON",Configuracion!$B$4,"")</f>
        <v>follow+like+comenta=15%</v>
      </c>
      <c r="K13" s="3">
        <f>IF(UPPER(Configuracion!$B$2)="ON",ROUND(C13*(1-Configuracion!$B$3),0),ROUND(C13,0))</f>
        <v>43</v>
      </c>
    </row>
    <row r="14" spans="1:11" x14ac:dyDescent="0.35">
      <c r="A14" s="2">
        <v>13</v>
      </c>
      <c r="B14" s="2" t="s">
        <v>37</v>
      </c>
      <c r="C14" s="3">
        <v>30</v>
      </c>
      <c r="D14" s="2" t="s">
        <v>38</v>
      </c>
      <c r="E14" s="2" t="s">
        <v>39</v>
      </c>
      <c r="F14" s="2" t="s">
        <v>14</v>
      </c>
      <c r="G14" s="2">
        <v>5</v>
      </c>
      <c r="H14" s="2" t="str">
        <f>Configuracion!$B$2</f>
        <v>ON</v>
      </c>
      <c r="I14" s="4">
        <f>Configuracion!$B$3</f>
        <v>0.15</v>
      </c>
      <c r="J14" s="2" t="str">
        <f>IF(UPPER(Configuracion!$B$2)="ON",Configuracion!$B$4,"")</f>
        <v>follow+like+comenta=15%</v>
      </c>
      <c r="K14" s="3">
        <f>IF(UPPER(Configuracion!$B$2)="ON",ROUND(C14*(1-Configuracion!$B$3),0),ROUND(C14,0))</f>
        <v>26</v>
      </c>
    </row>
    <row r="15" spans="1:11" x14ac:dyDescent="0.35">
      <c r="A15" s="2">
        <v>14</v>
      </c>
      <c r="B15" s="2" t="s">
        <v>40</v>
      </c>
      <c r="C15" s="3">
        <v>30</v>
      </c>
      <c r="D15" s="2" t="s">
        <v>41</v>
      </c>
      <c r="E15" s="2" t="s">
        <v>39</v>
      </c>
      <c r="F15" s="2" t="s">
        <v>14</v>
      </c>
      <c r="G15" s="2">
        <v>5</v>
      </c>
      <c r="H15" s="2" t="str">
        <f>Configuracion!$B$2</f>
        <v>ON</v>
      </c>
      <c r="I15" s="4">
        <f>Configuracion!$B$3</f>
        <v>0.15</v>
      </c>
      <c r="J15" s="2" t="str">
        <f>IF(UPPER(Configuracion!$B$2)="ON",Configuracion!$B$4,"")</f>
        <v>follow+like+comenta=15%</v>
      </c>
      <c r="K15" s="3">
        <f>IF(UPPER(Configuracion!$B$2)="ON",ROUND(C15*(1-Configuracion!$B$3),0),ROUND(C15,0))</f>
        <v>26</v>
      </c>
    </row>
    <row r="16" spans="1:11" x14ac:dyDescent="0.35">
      <c r="A16" s="2">
        <v>15</v>
      </c>
      <c r="B16" s="2" t="s">
        <v>42</v>
      </c>
      <c r="C16" s="3">
        <v>30</v>
      </c>
      <c r="D16" s="2" t="s">
        <v>43</v>
      </c>
      <c r="E16" s="2" t="s">
        <v>39</v>
      </c>
      <c r="F16" s="2" t="s">
        <v>14</v>
      </c>
      <c r="G16" s="2">
        <v>5</v>
      </c>
      <c r="H16" s="2" t="str">
        <f>Configuracion!$B$2</f>
        <v>ON</v>
      </c>
      <c r="I16" s="4">
        <f>Configuracion!$B$3</f>
        <v>0.15</v>
      </c>
      <c r="J16" s="2" t="str">
        <f>IF(UPPER(Configuracion!$B$2)="ON",Configuracion!$B$4,"")</f>
        <v>follow+like+comenta=15%</v>
      </c>
      <c r="K16" s="3">
        <f>IF(UPPER(Configuracion!$B$2)="ON",ROUND(C16*(1-Configuracion!$B$3),0),ROUND(C16,0))</f>
        <v>26</v>
      </c>
    </row>
    <row r="17" spans="1:11" x14ac:dyDescent="0.35">
      <c r="A17" s="2">
        <v>16</v>
      </c>
      <c r="B17" s="2" t="s">
        <v>44</v>
      </c>
      <c r="C17" s="3">
        <v>35</v>
      </c>
      <c r="D17" s="2" t="s">
        <v>45</v>
      </c>
      <c r="E17" s="2" t="s">
        <v>39</v>
      </c>
      <c r="F17" s="2" t="s">
        <v>14</v>
      </c>
      <c r="G17" s="2">
        <v>5</v>
      </c>
      <c r="H17" s="2" t="str">
        <f>Configuracion!$B$2</f>
        <v>ON</v>
      </c>
      <c r="I17" s="4">
        <f>Configuracion!$B$3</f>
        <v>0.15</v>
      </c>
      <c r="J17" s="2" t="str">
        <f>IF(UPPER(Configuracion!$B$2)="ON",Configuracion!$B$4,"")</f>
        <v>follow+like+comenta=15%</v>
      </c>
      <c r="K17" s="3">
        <f>IF(UPPER(Configuracion!$B$2)="ON",ROUND(C17*(1-Configuracion!$B$3),0),ROUND(C17,0))</f>
        <v>30</v>
      </c>
    </row>
    <row r="18" spans="1:11" x14ac:dyDescent="0.35">
      <c r="A18" s="2">
        <v>17</v>
      </c>
      <c r="B18" s="2" t="s">
        <v>46</v>
      </c>
      <c r="C18" s="3">
        <v>35</v>
      </c>
      <c r="D18" s="2" t="s">
        <v>47</v>
      </c>
      <c r="E18" s="2" t="s">
        <v>39</v>
      </c>
      <c r="F18" s="2" t="s">
        <v>14</v>
      </c>
      <c r="G18" s="2">
        <v>5</v>
      </c>
      <c r="H18" s="2" t="str">
        <f>Configuracion!$B$2</f>
        <v>ON</v>
      </c>
      <c r="I18" s="4">
        <f>Configuracion!$B$3</f>
        <v>0.15</v>
      </c>
      <c r="J18" s="2" t="str">
        <f>IF(UPPER(Configuracion!$B$2)="ON",Configuracion!$B$4,"")</f>
        <v>follow+like+comenta=15%</v>
      </c>
      <c r="K18" s="3">
        <f>IF(UPPER(Configuracion!$B$2)="ON",ROUND(C18*(1-Configuracion!$B$3),0),ROUND(C18,0))</f>
        <v>30</v>
      </c>
    </row>
    <row r="19" spans="1:11" x14ac:dyDescent="0.35">
      <c r="A19" s="2">
        <v>18</v>
      </c>
      <c r="B19" s="2" t="s">
        <v>48</v>
      </c>
      <c r="C19" s="3">
        <v>30</v>
      </c>
      <c r="D19" s="2" t="s">
        <v>49</v>
      </c>
      <c r="E19" s="2" t="s">
        <v>39</v>
      </c>
      <c r="F19" s="2" t="s">
        <v>14</v>
      </c>
      <c r="G19" s="2">
        <v>5</v>
      </c>
      <c r="H19" s="2" t="str">
        <f>Configuracion!$B$2</f>
        <v>ON</v>
      </c>
      <c r="I19" s="4">
        <f>Configuracion!$B$3</f>
        <v>0.15</v>
      </c>
      <c r="J19" s="2" t="str">
        <f>IF(UPPER(Configuracion!$B$2)="ON",Configuracion!$B$4,"")</f>
        <v>follow+like+comenta=15%</v>
      </c>
      <c r="K19" s="3">
        <f>IF(UPPER(Configuracion!$B$2)="ON",ROUND(C19*(1-Configuracion!$B$3),0),ROUND(C19,0))</f>
        <v>26</v>
      </c>
    </row>
    <row r="20" spans="1:11" x14ac:dyDescent="0.35">
      <c r="A20" s="2">
        <v>19</v>
      </c>
      <c r="B20" s="2" t="s">
        <v>50</v>
      </c>
      <c r="C20" s="3">
        <v>35</v>
      </c>
      <c r="D20" s="2" t="s">
        <v>51</v>
      </c>
      <c r="E20" s="2" t="s">
        <v>39</v>
      </c>
      <c r="F20" s="2" t="s">
        <v>14</v>
      </c>
      <c r="G20" s="2">
        <v>5</v>
      </c>
      <c r="H20" s="2" t="str">
        <f>Configuracion!$B$2</f>
        <v>ON</v>
      </c>
      <c r="I20" s="4">
        <f>Configuracion!$B$3</f>
        <v>0.15</v>
      </c>
      <c r="J20" s="2" t="str">
        <f>IF(UPPER(Configuracion!$B$2)="ON",Configuracion!$B$4,"")</f>
        <v>follow+like+comenta=15%</v>
      </c>
      <c r="K20" s="3">
        <f>IF(UPPER(Configuracion!$B$2)="ON",ROUND(C20*(1-Configuracion!$B$3),0),ROUND(C20,0))</f>
        <v>30</v>
      </c>
    </row>
    <row r="21" spans="1:11" x14ac:dyDescent="0.35">
      <c r="A21" s="2">
        <v>20</v>
      </c>
      <c r="B21" s="2" t="s">
        <v>52</v>
      </c>
      <c r="C21" s="3">
        <v>30</v>
      </c>
      <c r="D21" s="2" t="s">
        <v>53</v>
      </c>
      <c r="E21" s="2" t="s">
        <v>39</v>
      </c>
      <c r="F21" s="2" t="s">
        <v>14</v>
      </c>
      <c r="G21" s="2">
        <v>3</v>
      </c>
      <c r="H21" s="2" t="str">
        <f>Configuracion!$B$2</f>
        <v>ON</v>
      </c>
      <c r="I21" s="4">
        <f>Configuracion!$B$3</f>
        <v>0.15</v>
      </c>
      <c r="J21" s="2" t="str">
        <f>IF(UPPER(Configuracion!$B$2)="ON",Configuracion!$B$4,"")</f>
        <v>follow+like+comenta=15%</v>
      </c>
      <c r="K21" s="3">
        <f>IF(UPPER(Configuracion!$B$2)="ON",ROUND(C21*(1-Configuracion!$B$3),0),ROUND(C21,0))</f>
        <v>26</v>
      </c>
    </row>
    <row r="22" spans="1:11" x14ac:dyDescent="0.35">
      <c r="A22" s="2">
        <v>21</v>
      </c>
      <c r="B22" s="2" t="s">
        <v>54</v>
      </c>
      <c r="C22" s="3">
        <v>30</v>
      </c>
      <c r="D22" s="2" t="s">
        <v>55</v>
      </c>
      <c r="E22" s="2" t="s">
        <v>39</v>
      </c>
      <c r="F22" s="2" t="s">
        <v>14</v>
      </c>
      <c r="G22" s="2">
        <v>5</v>
      </c>
      <c r="H22" s="2" t="str">
        <f>Configuracion!$B$2</f>
        <v>ON</v>
      </c>
      <c r="I22" s="4">
        <f>Configuracion!$B$3</f>
        <v>0.15</v>
      </c>
      <c r="J22" s="2" t="str">
        <f>IF(UPPER(Configuracion!$B$2)="ON",Configuracion!$B$4,"")</f>
        <v>follow+like+comenta=15%</v>
      </c>
      <c r="K22" s="3">
        <f>IF(UPPER(Configuracion!$B$2)="ON",ROUND(C22*(1-Configuracion!$B$3),0),ROUND(C22,0))</f>
        <v>26</v>
      </c>
    </row>
    <row r="23" spans="1:11" x14ac:dyDescent="0.35">
      <c r="A23" s="2">
        <v>22</v>
      </c>
      <c r="B23" s="2" t="s">
        <v>56</v>
      </c>
      <c r="C23" s="3">
        <v>30</v>
      </c>
      <c r="D23" s="2" t="s">
        <v>57</v>
      </c>
      <c r="E23" s="2" t="s">
        <v>39</v>
      </c>
      <c r="F23" s="2" t="s">
        <v>14</v>
      </c>
      <c r="G23" s="2">
        <v>5</v>
      </c>
      <c r="H23" s="2" t="str">
        <f>Configuracion!$B$2</f>
        <v>ON</v>
      </c>
      <c r="I23" s="4">
        <f>Configuracion!$B$3</f>
        <v>0.15</v>
      </c>
      <c r="J23" s="2" t="str">
        <f>IF(UPPER(Configuracion!$B$2)="ON",Configuracion!$B$4,"")</f>
        <v>follow+like+comenta=15%</v>
      </c>
      <c r="K23" s="3">
        <f>IF(UPPER(Configuracion!$B$2)="ON",ROUND(C23*(1-Configuracion!$B$3),0),ROUND(C23,0))</f>
        <v>26</v>
      </c>
    </row>
    <row r="24" spans="1:11" x14ac:dyDescent="0.35">
      <c r="A24" s="2">
        <v>23</v>
      </c>
      <c r="B24" s="2" t="s">
        <v>58</v>
      </c>
      <c r="C24" s="3">
        <v>35</v>
      </c>
      <c r="D24" s="2" t="s">
        <v>59</v>
      </c>
      <c r="E24" s="2" t="s">
        <v>39</v>
      </c>
      <c r="F24" s="2" t="s">
        <v>14</v>
      </c>
      <c r="G24" s="2">
        <v>5</v>
      </c>
      <c r="H24" s="2" t="str">
        <f>Configuracion!$B$2</f>
        <v>ON</v>
      </c>
      <c r="I24" s="4">
        <f>Configuracion!$B$3</f>
        <v>0.15</v>
      </c>
      <c r="J24" s="2" t="str">
        <f>IF(UPPER(Configuracion!$B$2)="ON",Configuracion!$B$4,"")</f>
        <v>follow+like+comenta=15%</v>
      </c>
      <c r="K24" s="3">
        <f>IF(UPPER(Configuracion!$B$2)="ON",ROUND(C24*(1-Configuracion!$B$3),0),ROUND(C24,0))</f>
        <v>30</v>
      </c>
    </row>
    <row r="25" spans="1:11" x14ac:dyDescent="0.35">
      <c r="A25" s="2">
        <v>24</v>
      </c>
      <c r="B25" s="2" t="s">
        <v>60</v>
      </c>
      <c r="C25" s="3">
        <v>30</v>
      </c>
      <c r="D25" s="2" t="s">
        <v>61</v>
      </c>
      <c r="E25" s="2" t="s">
        <v>39</v>
      </c>
      <c r="F25" s="2" t="s">
        <v>14</v>
      </c>
      <c r="G25" s="2">
        <v>5</v>
      </c>
      <c r="H25" s="2" t="str">
        <f>Configuracion!$B$2</f>
        <v>ON</v>
      </c>
      <c r="I25" s="4">
        <f>Configuracion!$B$3</f>
        <v>0.15</v>
      </c>
      <c r="J25" s="2" t="str">
        <f>IF(UPPER(Configuracion!$B$2)="ON",Configuracion!$B$4,"")</f>
        <v>follow+like+comenta=15%</v>
      </c>
      <c r="K25" s="3">
        <f>IF(UPPER(Configuracion!$B$2)="ON",ROUND(C25*(1-Configuracion!$B$3),0),ROUND(C25,0))</f>
        <v>26</v>
      </c>
    </row>
    <row r="26" spans="1:11" x14ac:dyDescent="0.35">
      <c r="A26" s="2">
        <v>25</v>
      </c>
      <c r="B26" s="2" t="s">
        <v>62</v>
      </c>
      <c r="C26" s="3">
        <v>30</v>
      </c>
      <c r="D26" s="2" t="s">
        <v>63</v>
      </c>
      <c r="E26" s="2" t="s">
        <v>39</v>
      </c>
      <c r="F26" s="2" t="s">
        <v>14</v>
      </c>
      <c r="G26" s="2">
        <v>5</v>
      </c>
      <c r="H26" s="2" t="str">
        <f>Configuracion!$B$2</f>
        <v>ON</v>
      </c>
      <c r="I26" s="4">
        <f>Configuracion!$B$3</f>
        <v>0.15</v>
      </c>
      <c r="J26" s="2" t="str">
        <f>IF(UPPER(Configuracion!$B$2)="ON",Configuracion!$B$4,"")</f>
        <v>follow+like+comenta=15%</v>
      </c>
      <c r="K26" s="3">
        <f>IF(UPPER(Configuracion!$B$2)="ON",ROUND(C26*(1-Configuracion!$B$3),0),ROUND(C26,0))</f>
        <v>26</v>
      </c>
    </row>
    <row r="27" spans="1:11" x14ac:dyDescent="0.35">
      <c r="A27" s="2">
        <v>26</v>
      </c>
      <c r="B27" s="2" t="s">
        <v>64</v>
      </c>
      <c r="C27" s="3">
        <v>30</v>
      </c>
      <c r="D27" s="2" t="s">
        <v>65</v>
      </c>
      <c r="E27" s="2" t="s">
        <v>39</v>
      </c>
      <c r="F27" s="2" t="s">
        <v>14</v>
      </c>
      <c r="G27" s="2">
        <v>5</v>
      </c>
      <c r="H27" s="2" t="str">
        <f>Configuracion!$B$2</f>
        <v>ON</v>
      </c>
      <c r="I27" s="4">
        <f>Configuracion!$B$3</f>
        <v>0.15</v>
      </c>
      <c r="J27" s="2" t="str">
        <f>IF(UPPER(Configuracion!$B$2)="ON",Configuracion!$B$4,"")</f>
        <v>follow+like+comenta=15%</v>
      </c>
      <c r="K27" s="3">
        <f>IF(UPPER(Configuracion!$B$2)="ON",ROUND(C27*(1-Configuracion!$B$3),0),ROUND(C27,0))</f>
        <v>26</v>
      </c>
    </row>
    <row r="28" spans="1:11" x14ac:dyDescent="0.35">
      <c r="A28" s="2">
        <v>27</v>
      </c>
      <c r="B28" s="2" t="s">
        <v>66</v>
      </c>
      <c r="C28" s="3">
        <v>35</v>
      </c>
      <c r="D28" s="2" t="s">
        <v>67</v>
      </c>
      <c r="E28" s="2" t="s">
        <v>39</v>
      </c>
      <c r="F28" s="2" t="s">
        <v>14</v>
      </c>
      <c r="G28" s="2">
        <v>5</v>
      </c>
      <c r="H28" s="2" t="str">
        <f>Configuracion!$B$2</f>
        <v>ON</v>
      </c>
      <c r="I28" s="4">
        <f>Configuracion!$B$3</f>
        <v>0.15</v>
      </c>
      <c r="J28" s="2" t="str">
        <f>IF(UPPER(Configuracion!$B$2)="ON",Configuracion!$B$4,"")</f>
        <v>follow+like+comenta=15%</v>
      </c>
      <c r="K28" s="3">
        <f>IF(UPPER(Configuracion!$B$2)="ON",ROUND(C28*(1-Configuracion!$B$3),0),ROUND(C28,0))</f>
        <v>30</v>
      </c>
    </row>
    <row r="29" spans="1:11" x14ac:dyDescent="0.35">
      <c r="A29" s="2">
        <v>28</v>
      </c>
      <c r="B29" s="2" t="s">
        <v>68</v>
      </c>
      <c r="C29" s="3">
        <v>35</v>
      </c>
      <c r="D29" s="2" t="s">
        <v>69</v>
      </c>
      <c r="E29" s="2" t="s">
        <v>39</v>
      </c>
      <c r="F29" s="2" t="s">
        <v>14</v>
      </c>
      <c r="G29" s="2">
        <v>5</v>
      </c>
      <c r="H29" s="2" t="str">
        <f>Configuracion!$B$2</f>
        <v>ON</v>
      </c>
      <c r="I29" s="4">
        <f>Configuracion!$B$3</f>
        <v>0.15</v>
      </c>
      <c r="J29" s="2" t="str">
        <f>IF(UPPER(Configuracion!$B$2)="ON",Configuracion!$B$4,"")</f>
        <v>follow+like+comenta=15%</v>
      </c>
      <c r="K29" s="3">
        <f>IF(UPPER(Configuracion!$B$2)="ON",ROUND(C29*(1-Configuracion!$B$3),0),ROUND(C29,0))</f>
        <v>30</v>
      </c>
    </row>
    <row r="30" spans="1:11" x14ac:dyDescent="0.35">
      <c r="A30" s="2">
        <v>29</v>
      </c>
      <c r="B30" s="2" t="s">
        <v>70</v>
      </c>
      <c r="C30" s="3">
        <v>30</v>
      </c>
      <c r="D30" s="2" t="s">
        <v>71</v>
      </c>
      <c r="E30" s="2" t="s">
        <v>39</v>
      </c>
      <c r="F30" s="2" t="s">
        <v>14</v>
      </c>
      <c r="G30" s="2">
        <v>5</v>
      </c>
      <c r="H30" s="2" t="str">
        <f>Configuracion!$B$2</f>
        <v>ON</v>
      </c>
      <c r="I30" s="4">
        <f>Configuracion!$B$3</f>
        <v>0.15</v>
      </c>
      <c r="J30" s="2" t="str">
        <f>IF(UPPER(Configuracion!$B$2)="ON",Configuracion!$B$4,"")</f>
        <v>follow+like+comenta=15%</v>
      </c>
      <c r="K30" s="3">
        <f>IF(UPPER(Configuracion!$B$2)="ON",ROUND(C30*(1-Configuracion!$B$3),0),ROUND(C30,0))</f>
        <v>26</v>
      </c>
    </row>
    <row r="31" spans="1:11" x14ac:dyDescent="0.35">
      <c r="A31" s="2">
        <v>30</v>
      </c>
      <c r="B31" s="2" t="s">
        <v>72</v>
      </c>
      <c r="C31" s="3">
        <v>35</v>
      </c>
      <c r="D31" s="2" t="s">
        <v>73</v>
      </c>
      <c r="E31" s="2" t="s">
        <v>39</v>
      </c>
      <c r="F31" s="2" t="s">
        <v>14</v>
      </c>
      <c r="G31" s="2">
        <v>5</v>
      </c>
      <c r="H31" s="2" t="str">
        <f>Configuracion!$B$2</f>
        <v>ON</v>
      </c>
      <c r="I31" s="4">
        <f>Configuracion!$B$3</f>
        <v>0.15</v>
      </c>
      <c r="J31" s="2" t="str">
        <f>IF(UPPER(Configuracion!$B$2)="ON",Configuracion!$B$4,"")</f>
        <v>follow+like+comenta=15%</v>
      </c>
      <c r="K31" s="3">
        <f>IF(UPPER(Configuracion!$B$2)="ON",ROUND(C31*(1-Configuracion!$B$3),0),ROUND(C31,0))</f>
        <v>30</v>
      </c>
    </row>
    <row r="32" spans="1:11" x14ac:dyDescent="0.35">
      <c r="A32" s="2">
        <v>31</v>
      </c>
      <c r="B32" s="2" t="s">
        <v>74</v>
      </c>
      <c r="C32" s="3">
        <v>30</v>
      </c>
      <c r="D32" s="2" t="s">
        <v>75</v>
      </c>
      <c r="E32" s="2" t="s">
        <v>39</v>
      </c>
      <c r="F32" s="2" t="s">
        <v>14</v>
      </c>
      <c r="G32" s="2">
        <v>5</v>
      </c>
      <c r="H32" s="2" t="str">
        <f>Configuracion!$B$2</f>
        <v>ON</v>
      </c>
      <c r="I32" s="4">
        <f>Configuracion!$B$3</f>
        <v>0.15</v>
      </c>
      <c r="J32" s="2" t="str">
        <f>IF(UPPER(Configuracion!$B$2)="ON",Configuracion!$B$4,"")</f>
        <v>follow+like+comenta=15%</v>
      </c>
      <c r="K32" s="3">
        <f>IF(UPPER(Configuracion!$B$2)="ON",ROUND(C32*(1-Configuracion!$B$3),0),ROUND(C32,0))</f>
        <v>26</v>
      </c>
    </row>
    <row r="33" spans="1:11" x14ac:dyDescent="0.35">
      <c r="A33" s="2">
        <v>32</v>
      </c>
      <c r="B33" s="2" t="s">
        <v>76</v>
      </c>
      <c r="C33" s="3">
        <v>30</v>
      </c>
      <c r="D33" s="2" t="s">
        <v>77</v>
      </c>
      <c r="E33" s="2" t="s">
        <v>39</v>
      </c>
      <c r="F33" s="2" t="s">
        <v>14</v>
      </c>
      <c r="G33" s="2">
        <v>5</v>
      </c>
      <c r="H33" s="2" t="str">
        <f>Configuracion!$B$2</f>
        <v>ON</v>
      </c>
      <c r="I33" s="4">
        <f>Configuracion!$B$3</f>
        <v>0.15</v>
      </c>
      <c r="J33" s="2" t="str">
        <f>IF(UPPER(Configuracion!$B$2)="ON",Configuracion!$B$4,"")</f>
        <v>follow+like+comenta=15%</v>
      </c>
      <c r="K33" s="3">
        <f>IF(UPPER(Configuracion!$B$2)="ON",ROUND(C33*(1-Configuracion!$B$3),0),ROUND(C33,0))</f>
        <v>26</v>
      </c>
    </row>
    <row r="34" spans="1:11" x14ac:dyDescent="0.35">
      <c r="A34" s="2">
        <v>33</v>
      </c>
      <c r="B34" s="2" t="s">
        <v>78</v>
      </c>
      <c r="C34" s="3">
        <v>30</v>
      </c>
      <c r="D34" s="2" t="s">
        <v>79</v>
      </c>
      <c r="E34" s="2" t="s">
        <v>39</v>
      </c>
      <c r="F34" s="2" t="s">
        <v>14</v>
      </c>
      <c r="G34" s="2">
        <v>5</v>
      </c>
      <c r="H34" s="2" t="str">
        <f>Configuracion!$B$2</f>
        <v>ON</v>
      </c>
      <c r="I34" s="4">
        <f>Configuracion!$B$3</f>
        <v>0.15</v>
      </c>
      <c r="J34" s="2" t="str">
        <f>IF(UPPER(Configuracion!$B$2)="ON",Configuracion!$B$4,"")</f>
        <v>follow+like+comenta=15%</v>
      </c>
      <c r="K34" s="3">
        <f>IF(UPPER(Configuracion!$B$2)="ON",ROUND(C34*(1-Configuracion!$B$3),0),ROUND(C34,0))</f>
        <v>26</v>
      </c>
    </row>
    <row r="35" spans="1:11" x14ac:dyDescent="0.35">
      <c r="A35" s="2">
        <v>34</v>
      </c>
      <c r="B35" s="2" t="s">
        <v>80</v>
      </c>
      <c r="C35" s="3">
        <v>35</v>
      </c>
      <c r="D35" s="2" t="s">
        <v>81</v>
      </c>
      <c r="E35" s="2" t="s">
        <v>39</v>
      </c>
      <c r="F35" s="2" t="s">
        <v>14</v>
      </c>
      <c r="G35" s="2">
        <v>5</v>
      </c>
      <c r="H35" s="2" t="str">
        <f>Configuracion!$B$2</f>
        <v>ON</v>
      </c>
      <c r="I35" s="4">
        <f>Configuracion!$B$3</f>
        <v>0.15</v>
      </c>
      <c r="J35" s="2" t="str">
        <f>IF(UPPER(Configuracion!$B$2)="ON",Configuracion!$B$4,"")</f>
        <v>follow+like+comenta=15%</v>
      </c>
      <c r="K35" s="3">
        <f>IF(UPPER(Configuracion!$B$2)="ON",ROUND(C35*(1-Configuracion!$B$3),0),ROUND(C35,0))</f>
        <v>30</v>
      </c>
    </row>
    <row r="36" spans="1:11" x14ac:dyDescent="0.35">
      <c r="A36" s="2">
        <v>35</v>
      </c>
      <c r="B36" s="2" t="s">
        <v>82</v>
      </c>
      <c r="C36" s="3">
        <v>35</v>
      </c>
      <c r="D36" s="2" t="s">
        <v>83</v>
      </c>
      <c r="E36" s="2" t="s">
        <v>39</v>
      </c>
      <c r="F36" s="2" t="s">
        <v>14</v>
      </c>
      <c r="G36" s="2">
        <v>5</v>
      </c>
      <c r="H36" s="2" t="str">
        <f>Configuracion!$B$2</f>
        <v>ON</v>
      </c>
      <c r="I36" s="4">
        <f>Configuracion!$B$3</f>
        <v>0.15</v>
      </c>
      <c r="J36" s="2" t="str">
        <f>IF(UPPER(Configuracion!$B$2)="ON",Configuracion!$B$4,"")</f>
        <v>follow+like+comenta=15%</v>
      </c>
      <c r="K36" s="3">
        <f>IF(UPPER(Configuracion!$B$2)="ON",ROUND(C36*(1-Configuracion!$B$3),0),ROUND(C36,0))</f>
        <v>30</v>
      </c>
    </row>
    <row r="37" spans="1:11" x14ac:dyDescent="0.35">
      <c r="A37" s="2">
        <v>36</v>
      </c>
      <c r="B37" s="2" t="s">
        <v>84</v>
      </c>
      <c r="C37" s="3">
        <v>35</v>
      </c>
      <c r="D37" s="2" t="s">
        <v>85</v>
      </c>
      <c r="E37" s="2" t="s">
        <v>39</v>
      </c>
      <c r="F37" s="2" t="s">
        <v>14</v>
      </c>
      <c r="G37" s="2">
        <v>5</v>
      </c>
      <c r="H37" s="2" t="str">
        <f>Configuracion!$B$2</f>
        <v>ON</v>
      </c>
      <c r="I37" s="4">
        <f>Configuracion!$B$3</f>
        <v>0.15</v>
      </c>
      <c r="J37" s="2" t="str">
        <f>IF(UPPER(Configuracion!$B$2)="ON",Configuracion!$B$4,"")</f>
        <v>follow+like+comenta=15%</v>
      </c>
      <c r="K37" s="3">
        <f>IF(UPPER(Configuracion!$B$2)="ON",ROUND(C37*(1-Configuracion!$B$3),0),ROUND(C37,0))</f>
        <v>30</v>
      </c>
    </row>
    <row r="38" spans="1:11" x14ac:dyDescent="0.35">
      <c r="A38" s="2">
        <v>37</v>
      </c>
      <c r="B38" s="2" t="s">
        <v>86</v>
      </c>
      <c r="C38" s="3">
        <v>55</v>
      </c>
      <c r="D38" s="2" t="s">
        <v>87</v>
      </c>
      <c r="E38" s="2" t="s">
        <v>88</v>
      </c>
      <c r="F38" s="2" t="s">
        <v>89</v>
      </c>
      <c r="G38" s="2">
        <v>2</v>
      </c>
      <c r="H38" s="2" t="str">
        <f>Configuracion!$B$2</f>
        <v>ON</v>
      </c>
      <c r="I38" s="4">
        <f>Configuracion!$B$3</f>
        <v>0.15</v>
      </c>
      <c r="J38" s="2" t="str">
        <f>IF(UPPER(Configuracion!$B$2)="ON",Configuracion!$B$4,"")</f>
        <v>follow+like+comenta=15%</v>
      </c>
      <c r="K38" s="3">
        <f>IF(UPPER(Configuracion!$B$2)="ON",ROUND(C38*(1-Configuracion!$B$3),0),ROUND(C38,0))</f>
        <v>47</v>
      </c>
    </row>
    <row r="39" spans="1:11" x14ac:dyDescent="0.35">
      <c r="A39" s="2">
        <v>38</v>
      </c>
      <c r="B39" s="2" t="s">
        <v>90</v>
      </c>
      <c r="C39" s="3">
        <v>60</v>
      </c>
      <c r="D39" s="2" t="s">
        <v>91</v>
      </c>
      <c r="E39" s="2" t="s">
        <v>88</v>
      </c>
      <c r="F39" s="2" t="s">
        <v>89</v>
      </c>
      <c r="G39" s="2">
        <v>2</v>
      </c>
      <c r="H39" s="2" t="str">
        <f>Configuracion!$B$2</f>
        <v>ON</v>
      </c>
      <c r="I39" s="4">
        <f>Configuracion!$B$3</f>
        <v>0.15</v>
      </c>
      <c r="J39" s="2" t="str">
        <f>IF(UPPER(Configuracion!$B$2)="ON",Configuracion!$B$4,"")</f>
        <v>follow+like+comenta=15%</v>
      </c>
      <c r="K39" s="3">
        <f>IF(UPPER(Configuracion!$B$2)="ON",ROUND(C39*(1-Configuracion!$B$3),0),ROUND(C39,0))</f>
        <v>51</v>
      </c>
    </row>
    <row r="40" spans="1:11" x14ac:dyDescent="0.35">
      <c r="A40" s="2">
        <v>39</v>
      </c>
      <c r="B40" s="2" t="s">
        <v>92</v>
      </c>
      <c r="C40" s="3">
        <v>45</v>
      </c>
      <c r="D40" s="2" t="s">
        <v>93</v>
      </c>
      <c r="E40" s="2" t="s">
        <v>88</v>
      </c>
      <c r="F40" s="2" t="s">
        <v>89</v>
      </c>
      <c r="G40" s="2">
        <v>2</v>
      </c>
      <c r="H40" s="2" t="str">
        <f>Configuracion!$B$2</f>
        <v>ON</v>
      </c>
      <c r="I40" s="4">
        <f>Configuracion!$B$3</f>
        <v>0.15</v>
      </c>
      <c r="J40" s="2" t="str">
        <f>IF(UPPER(Configuracion!$B$2)="ON",Configuracion!$B$4,"")</f>
        <v>follow+like+comenta=15%</v>
      </c>
      <c r="K40" s="3">
        <f>IF(UPPER(Configuracion!$B$2)="ON",ROUND(C40*(1-Configuracion!$B$3),0),ROUND(C40,0))</f>
        <v>38</v>
      </c>
    </row>
    <row r="41" spans="1:11" x14ac:dyDescent="0.35">
      <c r="A41" s="2">
        <v>40</v>
      </c>
      <c r="B41" s="2" t="s">
        <v>94</v>
      </c>
      <c r="C41" s="3">
        <v>60</v>
      </c>
      <c r="D41" s="2" t="s">
        <v>95</v>
      </c>
      <c r="E41" s="2" t="s">
        <v>88</v>
      </c>
      <c r="F41" s="2" t="s">
        <v>89</v>
      </c>
      <c r="G41" s="2">
        <v>2</v>
      </c>
      <c r="H41" s="2" t="str">
        <f>Configuracion!$B$2</f>
        <v>ON</v>
      </c>
      <c r="I41" s="4">
        <f>Configuracion!$B$3</f>
        <v>0.15</v>
      </c>
      <c r="J41" s="2" t="str">
        <f>IF(UPPER(Configuracion!$B$2)="ON",Configuracion!$B$4,"")</f>
        <v>follow+like+comenta=15%</v>
      </c>
      <c r="K41" s="3">
        <f>IF(UPPER(Configuracion!$B$2)="ON",ROUND(C41*(1-Configuracion!$B$3),0),ROUND(C41,0))</f>
        <v>51</v>
      </c>
    </row>
    <row r="42" spans="1:11" x14ac:dyDescent="0.35">
      <c r="A42" s="2">
        <v>41</v>
      </c>
      <c r="B42" s="2" t="s">
        <v>96</v>
      </c>
      <c r="C42" s="3">
        <v>35</v>
      </c>
      <c r="D42" s="2" t="s">
        <v>97</v>
      </c>
      <c r="E42" s="2" t="s">
        <v>88</v>
      </c>
      <c r="F42" s="2" t="s">
        <v>89</v>
      </c>
      <c r="G42" s="2">
        <v>2</v>
      </c>
      <c r="H42" s="2" t="str">
        <f>Configuracion!$B$2</f>
        <v>ON</v>
      </c>
      <c r="I42" s="4">
        <f>Configuracion!$B$3</f>
        <v>0.15</v>
      </c>
      <c r="J42" s="2" t="str">
        <f>IF(UPPER(Configuracion!$B$2)="ON",Configuracion!$B$4,"")</f>
        <v>follow+like+comenta=15%</v>
      </c>
      <c r="K42" s="3">
        <f>IF(UPPER(Configuracion!$B$2)="ON",ROUND(C42*(1-Configuracion!$B$3),0),ROUND(C42,0))</f>
        <v>30</v>
      </c>
    </row>
    <row r="43" spans="1:11" x14ac:dyDescent="0.35">
      <c r="A43" s="2">
        <v>42</v>
      </c>
      <c r="B43" s="2" t="s">
        <v>98</v>
      </c>
      <c r="C43" s="3">
        <v>55</v>
      </c>
      <c r="D43" s="2" t="s">
        <v>99</v>
      </c>
      <c r="E43" s="2" t="s">
        <v>88</v>
      </c>
      <c r="F43" s="2" t="s">
        <v>89</v>
      </c>
      <c r="G43" s="2">
        <v>2</v>
      </c>
      <c r="H43" s="2" t="str">
        <f>Configuracion!$B$2</f>
        <v>ON</v>
      </c>
      <c r="I43" s="4">
        <f>Configuracion!$B$3</f>
        <v>0.15</v>
      </c>
      <c r="J43" s="2" t="str">
        <f>IF(UPPER(Configuracion!$B$2)="ON",Configuracion!$B$4,"")</f>
        <v>follow+like+comenta=15%</v>
      </c>
      <c r="K43" s="3">
        <f>IF(UPPER(Configuracion!$B$2)="ON",ROUND(C43*(1-Configuracion!$B$3),0),ROUND(C43,0))</f>
        <v>47</v>
      </c>
    </row>
    <row r="44" spans="1:11" x14ac:dyDescent="0.35">
      <c r="A44" s="2">
        <v>43</v>
      </c>
      <c r="B44" s="2" t="s">
        <v>100</v>
      </c>
      <c r="C44" s="3">
        <v>50</v>
      </c>
      <c r="D44" s="2" t="s">
        <v>101</v>
      </c>
      <c r="E44" s="2" t="s">
        <v>88</v>
      </c>
      <c r="F44" s="2" t="s">
        <v>89</v>
      </c>
      <c r="G44" s="2">
        <v>2</v>
      </c>
      <c r="H44" s="2" t="str">
        <f>Configuracion!$B$2</f>
        <v>ON</v>
      </c>
      <c r="I44" s="4">
        <f>Configuracion!$B$3</f>
        <v>0.15</v>
      </c>
      <c r="J44" s="2" t="str">
        <f>IF(UPPER(Configuracion!$B$2)="ON",Configuracion!$B$4,"")</f>
        <v>follow+like+comenta=15%</v>
      </c>
      <c r="K44" s="3">
        <f>IF(UPPER(Configuracion!$B$2)="ON",ROUND(C44*(1-Configuracion!$B$3),0),ROUND(C44,0))</f>
        <v>43</v>
      </c>
    </row>
    <row r="45" spans="1:11" x14ac:dyDescent="0.35">
      <c r="A45" s="2">
        <v>44</v>
      </c>
      <c r="B45" s="2" t="s">
        <v>102</v>
      </c>
      <c r="C45" s="3">
        <v>50</v>
      </c>
      <c r="D45" s="2" t="s">
        <v>103</v>
      </c>
      <c r="E45" s="2" t="s">
        <v>88</v>
      </c>
      <c r="F45" s="2" t="s">
        <v>89</v>
      </c>
      <c r="G45" s="2">
        <v>2</v>
      </c>
      <c r="H45" s="2" t="str">
        <f>Configuracion!$B$2</f>
        <v>ON</v>
      </c>
      <c r="I45" s="4">
        <f>Configuracion!$B$3</f>
        <v>0.15</v>
      </c>
      <c r="J45" s="2" t="str">
        <f>IF(UPPER(Configuracion!$B$2)="ON",Configuracion!$B$4,"")</f>
        <v>follow+like+comenta=15%</v>
      </c>
      <c r="K45" s="3">
        <f>IF(UPPER(Configuracion!$B$2)="ON",ROUND(C45*(1-Configuracion!$B$3),0),ROUND(C45,0))</f>
        <v>43</v>
      </c>
    </row>
    <row r="46" spans="1:11" x14ac:dyDescent="0.35">
      <c r="A46" s="2">
        <v>45</v>
      </c>
      <c r="B46" s="2" t="s">
        <v>104</v>
      </c>
      <c r="C46" s="3">
        <v>40</v>
      </c>
      <c r="D46" s="2" t="s">
        <v>105</v>
      </c>
      <c r="E46" s="2" t="s">
        <v>88</v>
      </c>
      <c r="F46" s="2" t="s">
        <v>89</v>
      </c>
      <c r="G46" s="2">
        <v>2</v>
      </c>
      <c r="H46" s="2" t="str">
        <f>Configuracion!$B$2</f>
        <v>ON</v>
      </c>
      <c r="I46" s="4">
        <f>Configuracion!$B$3</f>
        <v>0.15</v>
      </c>
      <c r="J46" s="2" t="str">
        <f>IF(UPPER(Configuracion!$B$2)="ON",Configuracion!$B$4,"")</f>
        <v>follow+like+comenta=15%</v>
      </c>
      <c r="K46" s="3">
        <f>IF(UPPER(Configuracion!$B$2)="ON",ROUND(C46*(1-Configuracion!$B$3),0),ROUND(C46,0))</f>
        <v>34</v>
      </c>
    </row>
    <row r="47" spans="1:11" x14ac:dyDescent="0.35">
      <c r="A47" s="2">
        <v>46</v>
      </c>
      <c r="B47" s="2" t="s">
        <v>106</v>
      </c>
      <c r="C47" s="3">
        <v>45</v>
      </c>
      <c r="D47" s="2" t="s">
        <v>107</v>
      </c>
      <c r="E47" s="2" t="s">
        <v>88</v>
      </c>
      <c r="F47" s="2" t="s">
        <v>89</v>
      </c>
      <c r="G47" s="2">
        <v>2</v>
      </c>
      <c r="H47" s="2" t="str">
        <f>Configuracion!$B$2</f>
        <v>ON</v>
      </c>
      <c r="I47" s="4">
        <f>Configuracion!$B$3</f>
        <v>0.15</v>
      </c>
      <c r="J47" s="2" t="str">
        <f>IF(UPPER(Configuracion!$B$2)="ON",Configuracion!$B$4,"")</f>
        <v>follow+like+comenta=15%</v>
      </c>
      <c r="K47" s="3">
        <f>IF(UPPER(Configuracion!$B$2)="ON",ROUND(C47*(1-Configuracion!$B$3),0),ROUND(C47,0))</f>
        <v>38</v>
      </c>
    </row>
    <row r="48" spans="1:11" x14ac:dyDescent="0.35">
      <c r="A48" s="2">
        <v>47</v>
      </c>
      <c r="B48" s="2" t="s">
        <v>108</v>
      </c>
      <c r="C48" s="3">
        <v>45</v>
      </c>
      <c r="D48" s="2" t="s">
        <v>109</v>
      </c>
      <c r="E48" s="2" t="s">
        <v>88</v>
      </c>
      <c r="F48" s="2" t="s">
        <v>89</v>
      </c>
      <c r="G48" s="2">
        <v>2</v>
      </c>
      <c r="H48" s="2" t="str">
        <f>Configuracion!$B$2</f>
        <v>ON</v>
      </c>
      <c r="I48" s="4">
        <f>Configuracion!$B$3</f>
        <v>0.15</v>
      </c>
      <c r="J48" s="2" t="str">
        <f>IF(UPPER(Configuracion!$B$2)="ON",Configuracion!$B$4,"")</f>
        <v>follow+like+comenta=15%</v>
      </c>
      <c r="K48" s="3">
        <f>IF(UPPER(Configuracion!$B$2)="ON",ROUND(C48*(1-Configuracion!$B$3),0),ROUND(C48,0))</f>
        <v>38</v>
      </c>
    </row>
    <row r="49" spans="1:11" x14ac:dyDescent="0.35">
      <c r="A49" s="2">
        <v>48</v>
      </c>
      <c r="B49" s="2" t="s">
        <v>110</v>
      </c>
      <c r="C49" s="3">
        <v>45</v>
      </c>
      <c r="D49" s="2" t="s">
        <v>111</v>
      </c>
      <c r="E49" s="2" t="s">
        <v>88</v>
      </c>
      <c r="F49" s="2" t="s">
        <v>89</v>
      </c>
      <c r="G49" s="2">
        <v>2</v>
      </c>
      <c r="H49" s="2" t="str">
        <f>Configuracion!$B$2</f>
        <v>ON</v>
      </c>
      <c r="I49" s="4">
        <f>Configuracion!$B$3</f>
        <v>0.15</v>
      </c>
      <c r="J49" s="2" t="str">
        <f>IF(UPPER(Configuracion!$B$2)="ON",Configuracion!$B$4,"")</f>
        <v>follow+like+comenta=15%</v>
      </c>
      <c r="K49" s="3">
        <f>IF(UPPER(Configuracion!$B$2)="ON",ROUND(C49*(1-Configuracion!$B$3),0),ROUND(C49,0))</f>
        <v>38</v>
      </c>
    </row>
    <row r="50" spans="1:11" x14ac:dyDescent="0.35">
      <c r="A50" s="2">
        <v>49</v>
      </c>
      <c r="B50" s="2" t="s">
        <v>112</v>
      </c>
      <c r="C50" s="3">
        <v>60</v>
      </c>
      <c r="D50" s="2" t="s">
        <v>113</v>
      </c>
      <c r="E50" s="2" t="s">
        <v>88</v>
      </c>
      <c r="F50" s="2" t="s">
        <v>89</v>
      </c>
      <c r="G50" s="2">
        <v>2</v>
      </c>
      <c r="H50" s="2" t="str">
        <f>Configuracion!$B$2</f>
        <v>ON</v>
      </c>
      <c r="I50" s="4">
        <f>Configuracion!$B$3</f>
        <v>0.15</v>
      </c>
      <c r="J50" s="2" t="str">
        <f>IF(UPPER(Configuracion!$B$2)="ON",Configuracion!$B$4,"")</f>
        <v>follow+like+comenta=15%</v>
      </c>
      <c r="K50" s="3">
        <f>IF(UPPER(Configuracion!$B$2)="ON",ROUND(C50*(1-Configuracion!$B$3),0),ROUND(C50,0))</f>
        <v>51</v>
      </c>
    </row>
    <row r="51" spans="1:11" x14ac:dyDescent="0.35">
      <c r="A51" s="2">
        <v>50</v>
      </c>
      <c r="B51" s="2" t="s">
        <v>114</v>
      </c>
      <c r="C51" s="3">
        <v>45</v>
      </c>
      <c r="D51" s="2" t="s">
        <v>115</v>
      </c>
      <c r="E51" s="2" t="s">
        <v>88</v>
      </c>
      <c r="F51" s="2" t="s">
        <v>89</v>
      </c>
      <c r="G51" s="2">
        <v>2</v>
      </c>
      <c r="H51" s="2" t="str">
        <f>Configuracion!$B$2</f>
        <v>ON</v>
      </c>
      <c r="I51" s="4">
        <f>Configuracion!$B$3</f>
        <v>0.15</v>
      </c>
      <c r="J51" s="2" t="str">
        <f>IF(UPPER(Configuracion!$B$2)="ON",Configuracion!$B$4,"")</f>
        <v>follow+like+comenta=15%</v>
      </c>
      <c r="K51" s="3">
        <f>IF(UPPER(Configuracion!$B$2)="ON",ROUND(C51*(1-Configuracion!$B$3),0),ROUND(C51,0))</f>
        <v>38</v>
      </c>
    </row>
    <row r="52" spans="1:11" x14ac:dyDescent="0.35">
      <c r="A52" s="2">
        <v>51</v>
      </c>
      <c r="B52" s="2" t="s">
        <v>116</v>
      </c>
      <c r="C52" s="3">
        <v>60</v>
      </c>
      <c r="D52" s="2" t="s">
        <v>117</v>
      </c>
      <c r="E52" s="2" t="s">
        <v>88</v>
      </c>
      <c r="F52" s="2" t="s">
        <v>89</v>
      </c>
      <c r="G52" s="2">
        <v>2</v>
      </c>
      <c r="H52" s="2" t="str">
        <f>Configuracion!$B$2</f>
        <v>ON</v>
      </c>
      <c r="I52" s="4">
        <f>Configuracion!$B$3</f>
        <v>0.15</v>
      </c>
      <c r="J52" s="2" t="str">
        <f>IF(UPPER(Configuracion!$B$2)="ON",Configuracion!$B$4,"")</f>
        <v>follow+like+comenta=15%</v>
      </c>
      <c r="K52" s="3">
        <f>IF(UPPER(Configuracion!$B$2)="ON",ROUND(C52*(1-Configuracion!$B$3),0),ROUND(C52,0))</f>
        <v>51</v>
      </c>
    </row>
    <row r="53" spans="1:11" x14ac:dyDescent="0.35">
      <c r="A53" s="2">
        <v>52</v>
      </c>
      <c r="B53" s="2" t="s">
        <v>118</v>
      </c>
      <c r="C53" s="3">
        <v>40</v>
      </c>
      <c r="D53" s="2" t="s">
        <v>119</v>
      </c>
      <c r="E53" s="2" t="s">
        <v>88</v>
      </c>
      <c r="F53" s="2" t="s">
        <v>89</v>
      </c>
      <c r="G53" s="2">
        <v>2</v>
      </c>
      <c r="H53" s="2" t="str">
        <f>Configuracion!$B$2</f>
        <v>ON</v>
      </c>
      <c r="I53" s="4">
        <f>Configuracion!$B$3</f>
        <v>0.15</v>
      </c>
      <c r="J53" s="2" t="str">
        <f>IF(UPPER(Configuracion!$B$2)="ON",Configuracion!$B$4,"")</f>
        <v>follow+like+comenta=15%</v>
      </c>
      <c r="K53" s="3">
        <f>IF(UPPER(Configuracion!$B$2)="ON",ROUND(C53*(1-Configuracion!$B$3),0),ROUND(C53,0))</f>
        <v>34</v>
      </c>
    </row>
    <row r="54" spans="1:11" x14ac:dyDescent="0.35">
      <c r="A54" s="2">
        <v>53</v>
      </c>
      <c r="B54" s="2" t="s">
        <v>120</v>
      </c>
      <c r="C54" s="3">
        <v>60</v>
      </c>
      <c r="D54" s="2" t="s">
        <v>121</v>
      </c>
      <c r="E54" s="2" t="s">
        <v>88</v>
      </c>
      <c r="F54" s="2" t="s">
        <v>89</v>
      </c>
      <c r="G54" s="2">
        <v>2</v>
      </c>
      <c r="H54" s="2" t="str">
        <f>Configuracion!$B$2</f>
        <v>ON</v>
      </c>
      <c r="I54" s="4">
        <f>Configuracion!$B$3</f>
        <v>0.15</v>
      </c>
      <c r="J54" s="2" t="str">
        <f>IF(UPPER(Configuracion!$B$2)="ON",Configuracion!$B$4,"")</f>
        <v>follow+like+comenta=15%</v>
      </c>
      <c r="K54" s="3">
        <f>IF(UPPER(Configuracion!$B$2)="ON",ROUND(C54*(1-Configuracion!$B$3),0),ROUND(C54,0))</f>
        <v>51</v>
      </c>
    </row>
    <row r="55" spans="1:11" x14ac:dyDescent="0.35">
      <c r="A55" s="2">
        <v>54</v>
      </c>
      <c r="B55" s="2" t="s">
        <v>122</v>
      </c>
      <c r="C55" s="3">
        <v>75</v>
      </c>
      <c r="D55" s="2" t="s">
        <v>123</v>
      </c>
      <c r="E55" s="2" t="s">
        <v>88</v>
      </c>
      <c r="F55" s="2" t="s">
        <v>89</v>
      </c>
      <c r="G55" s="2">
        <v>1</v>
      </c>
      <c r="H55" s="2" t="str">
        <f>Configuracion!$B$2</f>
        <v>ON</v>
      </c>
      <c r="I55" s="4">
        <f>Configuracion!$B$3</f>
        <v>0.15</v>
      </c>
      <c r="J55" s="2" t="str">
        <f>IF(UPPER(Configuracion!$B$2)="ON",Configuracion!$B$4,"")</f>
        <v>follow+like+comenta=15%</v>
      </c>
      <c r="K55" s="3">
        <f>IF(UPPER(Configuracion!$B$2)="ON",ROUND(C55*(1-Configuracion!$B$3),0),ROUND(C55,0))</f>
        <v>64</v>
      </c>
    </row>
    <row r="56" spans="1:11" x14ac:dyDescent="0.35">
      <c r="A56" s="2">
        <v>55</v>
      </c>
      <c r="B56" s="2" t="s">
        <v>124</v>
      </c>
      <c r="C56" s="3">
        <v>20</v>
      </c>
      <c r="D56" s="2" t="s">
        <v>125</v>
      </c>
      <c r="E56" s="2" t="s">
        <v>126</v>
      </c>
      <c r="F56" s="2" t="s">
        <v>127</v>
      </c>
      <c r="G56" s="2">
        <v>10</v>
      </c>
      <c r="H56" s="2" t="str">
        <f>Configuracion!$B$2</f>
        <v>ON</v>
      </c>
      <c r="I56" s="4">
        <f>Configuracion!$B$3</f>
        <v>0.15</v>
      </c>
      <c r="J56" s="2" t="str">
        <f>IF(UPPER(Configuracion!$B$2)="ON",Configuracion!$B$4,"")</f>
        <v>follow+like+comenta=15%</v>
      </c>
      <c r="K56" s="3">
        <f>IF(UPPER(Configuracion!$B$2)="ON",ROUND(C56*(1-Configuracion!$B$3),0),ROUND(C56,0))</f>
        <v>17</v>
      </c>
    </row>
    <row r="57" spans="1:11" x14ac:dyDescent="0.35">
      <c r="A57" s="2">
        <v>56</v>
      </c>
      <c r="B57" s="2" t="s">
        <v>128</v>
      </c>
      <c r="C57" s="3">
        <v>40</v>
      </c>
      <c r="D57" s="2" t="s">
        <v>129</v>
      </c>
      <c r="E57" s="2" t="s">
        <v>126</v>
      </c>
      <c r="F57" s="2" t="s">
        <v>127</v>
      </c>
      <c r="G57" s="2">
        <v>10</v>
      </c>
      <c r="H57" s="2" t="str">
        <f>Configuracion!$B$2</f>
        <v>ON</v>
      </c>
      <c r="I57" s="4">
        <f>Configuracion!$B$3</f>
        <v>0.15</v>
      </c>
      <c r="J57" s="2" t="str">
        <f>IF(UPPER(Configuracion!$B$2)="ON",Configuracion!$B$4,"")</f>
        <v>follow+like+comenta=15%</v>
      </c>
      <c r="K57" s="3">
        <f>IF(UPPER(Configuracion!$B$2)="ON",ROUND(C57*(1-Configuracion!$B$3),0),ROUND(C57,0))</f>
        <v>34</v>
      </c>
    </row>
    <row r="58" spans="1:11" x14ac:dyDescent="0.35">
      <c r="A58" s="2">
        <v>57</v>
      </c>
      <c r="B58" s="2" t="s">
        <v>130</v>
      </c>
      <c r="C58" s="3">
        <v>25</v>
      </c>
      <c r="D58" s="2" t="s">
        <v>131</v>
      </c>
      <c r="E58" s="2" t="s">
        <v>126</v>
      </c>
      <c r="F58" s="2" t="s">
        <v>127</v>
      </c>
      <c r="G58" s="2">
        <v>10</v>
      </c>
      <c r="H58" s="2" t="str">
        <f>Configuracion!$B$2</f>
        <v>ON</v>
      </c>
      <c r="I58" s="4">
        <f>Configuracion!$B$3</f>
        <v>0.15</v>
      </c>
      <c r="J58" s="2" t="str">
        <f>IF(UPPER(Configuracion!$B$2)="ON",Configuracion!$B$4,"")</f>
        <v>follow+like+comenta=15%</v>
      </c>
      <c r="K58" s="3">
        <f>IF(UPPER(Configuracion!$B$2)="ON",ROUND(C58*(1-Configuracion!$B$3),0),ROUND(C58,0))</f>
        <v>21</v>
      </c>
    </row>
    <row r="59" spans="1:11" x14ac:dyDescent="0.35">
      <c r="A59" s="2">
        <v>58</v>
      </c>
      <c r="B59" s="2" t="s">
        <v>132</v>
      </c>
      <c r="C59" s="3">
        <v>30</v>
      </c>
      <c r="D59" s="2" t="s">
        <v>133</v>
      </c>
      <c r="E59" s="2" t="s">
        <v>126</v>
      </c>
      <c r="F59" s="2" t="s">
        <v>127</v>
      </c>
      <c r="G59" s="2">
        <v>10</v>
      </c>
      <c r="H59" s="2" t="str">
        <f>Configuracion!$B$2</f>
        <v>ON</v>
      </c>
      <c r="I59" s="4">
        <f>Configuracion!$B$3</f>
        <v>0.15</v>
      </c>
      <c r="J59" s="2" t="str">
        <f>IF(UPPER(Configuracion!$B$2)="ON",Configuracion!$B$4,"")</f>
        <v>follow+like+comenta=15%</v>
      </c>
      <c r="K59" s="3">
        <f>IF(UPPER(Configuracion!$B$2)="ON",ROUND(C59*(1-Configuracion!$B$3),0),ROUND(C59,0))</f>
        <v>26</v>
      </c>
    </row>
    <row r="60" spans="1:11" x14ac:dyDescent="0.35">
      <c r="A60" s="2">
        <v>59</v>
      </c>
      <c r="B60" s="2" t="s">
        <v>134</v>
      </c>
      <c r="C60" s="3">
        <v>30</v>
      </c>
      <c r="D60" s="2" t="s">
        <v>135</v>
      </c>
      <c r="E60" s="2" t="s">
        <v>126</v>
      </c>
      <c r="F60" s="2" t="s">
        <v>127</v>
      </c>
      <c r="G60" s="2">
        <v>10</v>
      </c>
      <c r="H60" s="2" t="str">
        <f>Configuracion!$B$2</f>
        <v>ON</v>
      </c>
      <c r="I60" s="4">
        <f>Configuracion!$B$3</f>
        <v>0.15</v>
      </c>
      <c r="J60" s="2" t="str">
        <f>IF(UPPER(Configuracion!$B$2)="ON",Configuracion!$B$4,"")</f>
        <v>follow+like+comenta=15%</v>
      </c>
      <c r="K60" s="3">
        <f>IF(UPPER(Configuracion!$B$2)="ON",ROUND(C60*(1-Configuracion!$B$3),0),ROUND(C60,0))</f>
        <v>26</v>
      </c>
    </row>
    <row r="61" spans="1:11" x14ac:dyDescent="0.35">
      <c r="A61" s="2">
        <v>60</v>
      </c>
      <c r="B61" s="2" t="s">
        <v>136</v>
      </c>
      <c r="C61" s="3">
        <v>35</v>
      </c>
      <c r="D61" s="2" t="s">
        <v>137</v>
      </c>
      <c r="E61" s="2" t="s">
        <v>126</v>
      </c>
      <c r="F61" s="2" t="s">
        <v>127</v>
      </c>
      <c r="G61" s="2">
        <v>10</v>
      </c>
      <c r="H61" s="2" t="str">
        <f>Configuracion!$B$2</f>
        <v>ON</v>
      </c>
      <c r="I61" s="4">
        <f>Configuracion!$B$3</f>
        <v>0.15</v>
      </c>
      <c r="J61" s="2" t="str">
        <f>IF(UPPER(Configuracion!$B$2)="ON",Configuracion!$B$4,"")</f>
        <v>follow+like+comenta=15%</v>
      </c>
      <c r="K61" s="3">
        <f>IF(UPPER(Configuracion!$B$2)="ON",ROUND(C61*(1-Configuracion!$B$3),0),ROUND(C61,0))</f>
        <v>30</v>
      </c>
    </row>
    <row r="62" spans="1:11" x14ac:dyDescent="0.35">
      <c r="A62" s="2">
        <v>61</v>
      </c>
      <c r="B62" s="2" t="s">
        <v>138</v>
      </c>
      <c r="C62" s="3">
        <v>25</v>
      </c>
      <c r="D62" s="2" t="s">
        <v>139</v>
      </c>
      <c r="E62" s="2" t="s">
        <v>140</v>
      </c>
      <c r="F62" s="2" t="s">
        <v>89</v>
      </c>
      <c r="G62" s="2">
        <v>10</v>
      </c>
      <c r="H62" s="2" t="str">
        <f>Configuracion!$B$2</f>
        <v>ON</v>
      </c>
      <c r="I62" s="4">
        <f>Configuracion!$B$3</f>
        <v>0.15</v>
      </c>
      <c r="J62" s="2" t="str">
        <f>IF(UPPER(Configuracion!$B$2)="ON",Configuracion!$B$4,"")</f>
        <v>follow+like+comenta=15%</v>
      </c>
      <c r="K62" s="3">
        <f>IF(UPPER(Configuracion!$B$2)="ON",ROUND(C62*(1-Configuracion!$B$3),0),ROUND(C62,0))</f>
        <v>21</v>
      </c>
    </row>
    <row r="63" spans="1:11" x14ac:dyDescent="0.35">
      <c r="A63" s="2">
        <v>62</v>
      </c>
      <c r="B63" s="2" t="s">
        <v>141</v>
      </c>
      <c r="C63" s="3">
        <v>25</v>
      </c>
      <c r="D63" s="2" t="s">
        <v>142</v>
      </c>
      <c r="E63" s="2" t="s">
        <v>140</v>
      </c>
      <c r="F63" s="2" t="s">
        <v>89</v>
      </c>
      <c r="G63" s="2">
        <v>10</v>
      </c>
      <c r="H63" s="2" t="str">
        <f>Configuracion!$B$2</f>
        <v>ON</v>
      </c>
      <c r="I63" s="4">
        <f>Configuracion!$B$3</f>
        <v>0.15</v>
      </c>
      <c r="J63" s="2" t="str">
        <f>IF(UPPER(Configuracion!$B$2)="ON",Configuracion!$B$4,"")</f>
        <v>follow+like+comenta=15%</v>
      </c>
      <c r="K63" s="3">
        <f>IF(UPPER(Configuracion!$B$2)="ON",ROUND(C63*(1-Configuracion!$B$3),0),ROUND(C63,0))</f>
        <v>21</v>
      </c>
    </row>
    <row r="64" spans="1:11" x14ac:dyDescent="0.35">
      <c r="A64" s="2">
        <v>63</v>
      </c>
      <c r="B64" s="2" t="s">
        <v>143</v>
      </c>
      <c r="C64" s="3">
        <v>30</v>
      </c>
      <c r="D64" s="2" t="s">
        <v>144</v>
      </c>
      <c r="E64" s="2" t="s">
        <v>145</v>
      </c>
      <c r="F64" s="2" t="s">
        <v>89</v>
      </c>
      <c r="G64" s="2">
        <v>10</v>
      </c>
      <c r="H64" s="2" t="str">
        <f>Configuracion!$B$2</f>
        <v>ON</v>
      </c>
      <c r="I64" s="4">
        <f>Configuracion!$B$3</f>
        <v>0.15</v>
      </c>
      <c r="J64" s="2" t="str">
        <f>IF(UPPER(Configuracion!$B$2)="ON",Configuracion!$B$4,"")</f>
        <v>follow+like+comenta=15%</v>
      </c>
      <c r="K64" s="3">
        <f>IF(UPPER(Configuracion!$B$2)="ON",ROUND(C64*(1-Configuracion!$B$3),0),ROUND(C64,0))</f>
        <v>26</v>
      </c>
    </row>
    <row r="65" spans="1:11" x14ac:dyDescent="0.35">
      <c r="A65" s="2">
        <v>64</v>
      </c>
      <c r="B65" s="2" t="s">
        <v>146</v>
      </c>
      <c r="C65" s="3">
        <v>50</v>
      </c>
      <c r="D65" s="2" t="s">
        <v>147</v>
      </c>
      <c r="E65" s="2" t="s">
        <v>145</v>
      </c>
      <c r="F65" s="2" t="s">
        <v>89</v>
      </c>
      <c r="G65" s="2">
        <v>10</v>
      </c>
      <c r="H65" s="2" t="str">
        <f>Configuracion!$B$2</f>
        <v>ON</v>
      </c>
      <c r="I65" s="4">
        <f>Configuracion!$B$3</f>
        <v>0.15</v>
      </c>
      <c r="J65" s="2" t="str">
        <f>IF(UPPER(Configuracion!$B$2)="ON",Configuracion!$B$4,"")</f>
        <v>follow+like+comenta=15%</v>
      </c>
      <c r="K65" s="3">
        <f>IF(UPPER(Configuracion!$B$2)="ON",ROUND(C65*(1-Configuracion!$B$3),0),ROUND(C65,0))</f>
        <v>43</v>
      </c>
    </row>
    <row r="66" spans="1:11" x14ac:dyDescent="0.35">
      <c r="A66" s="2">
        <v>65</v>
      </c>
      <c r="B66" s="2" t="s">
        <v>148</v>
      </c>
      <c r="C66" s="3">
        <v>70</v>
      </c>
      <c r="D66" s="2" t="s">
        <v>149</v>
      </c>
      <c r="E66" s="2" t="s">
        <v>145</v>
      </c>
      <c r="F66" s="2" t="s">
        <v>89</v>
      </c>
      <c r="G66" s="2">
        <v>10</v>
      </c>
      <c r="H66" s="2" t="str">
        <f>Configuracion!$B$2</f>
        <v>ON</v>
      </c>
      <c r="I66" s="4">
        <f>Configuracion!$B$3</f>
        <v>0.15</v>
      </c>
      <c r="J66" s="2" t="str">
        <f>IF(UPPER(Configuracion!$B$2)="ON",Configuracion!$B$4,"")</f>
        <v>follow+like+comenta=15%</v>
      </c>
      <c r="K66" s="3">
        <f>IF(UPPER(Configuracion!$B$2)="ON",ROUND(C66*(1-Configuracion!$B$3),0),ROUND(C66,0))</f>
        <v>60</v>
      </c>
    </row>
    <row r="67" spans="1:11" x14ac:dyDescent="0.35">
      <c r="A67" s="2">
        <v>66</v>
      </c>
      <c r="B67" s="2" t="s">
        <v>150</v>
      </c>
      <c r="C67" s="3">
        <v>45</v>
      </c>
      <c r="D67" s="2" t="s">
        <v>151</v>
      </c>
      <c r="E67" s="2" t="s">
        <v>145</v>
      </c>
      <c r="F67" s="2" t="s">
        <v>89</v>
      </c>
      <c r="G67" s="2">
        <v>10</v>
      </c>
      <c r="H67" s="2" t="str">
        <f>Configuracion!$B$2</f>
        <v>ON</v>
      </c>
      <c r="I67" s="4">
        <f>Configuracion!$B$3</f>
        <v>0.15</v>
      </c>
      <c r="J67" s="2" t="str">
        <f>IF(UPPER(Configuracion!$B$2)="ON",Configuracion!$B$4,"")</f>
        <v>follow+like+comenta=15%</v>
      </c>
      <c r="K67" s="3">
        <f>IF(UPPER(Configuracion!$B$2)="ON",ROUND(C67*(1-Configuracion!$B$3),0),ROUND(C67,0))</f>
        <v>38</v>
      </c>
    </row>
    <row r="68" spans="1:11" x14ac:dyDescent="0.35">
      <c r="A68" s="2">
        <v>67</v>
      </c>
      <c r="B68" s="2" t="s">
        <v>152</v>
      </c>
      <c r="C68" s="3">
        <v>60</v>
      </c>
      <c r="D68" s="2" t="s">
        <v>153</v>
      </c>
      <c r="E68" s="2" t="s">
        <v>145</v>
      </c>
      <c r="F68" s="2" t="s">
        <v>89</v>
      </c>
      <c r="G68" s="2">
        <v>10</v>
      </c>
      <c r="H68" s="2" t="str">
        <f>Configuracion!$B$2</f>
        <v>ON</v>
      </c>
      <c r="I68" s="4">
        <f>Configuracion!$B$3</f>
        <v>0.15</v>
      </c>
      <c r="J68" s="2" t="str">
        <f>IF(UPPER(Configuracion!$B$2)="ON",Configuracion!$B$4,"")</f>
        <v>follow+like+comenta=15%</v>
      </c>
      <c r="K68" s="3">
        <f>IF(UPPER(Configuracion!$B$2)="ON",ROUND(C68*(1-Configuracion!$B$3),0),ROUND(C68,0))</f>
        <v>51</v>
      </c>
    </row>
    <row r="69" spans="1:11" x14ac:dyDescent="0.35">
      <c r="A69" s="2">
        <v>68</v>
      </c>
      <c r="B69" s="2" t="s">
        <v>154</v>
      </c>
      <c r="C69" s="3">
        <v>30</v>
      </c>
      <c r="D69" s="2" t="s">
        <v>155</v>
      </c>
      <c r="E69" s="2" t="s">
        <v>145</v>
      </c>
      <c r="F69" s="2" t="s">
        <v>89</v>
      </c>
      <c r="G69" s="2">
        <v>10</v>
      </c>
      <c r="H69" s="2" t="str">
        <f>Configuracion!$B$2</f>
        <v>ON</v>
      </c>
      <c r="I69" s="4">
        <f>Configuracion!$B$3</f>
        <v>0.15</v>
      </c>
      <c r="J69" s="2" t="str">
        <f>IF(UPPER(Configuracion!$B$2)="ON",Configuracion!$B$4,"")</f>
        <v>follow+like+comenta=15%</v>
      </c>
      <c r="K69" s="3">
        <f>IF(UPPER(Configuracion!$B$2)="ON",ROUND(C69*(1-Configuracion!$B$3),0),ROUND(C69,0))</f>
        <v>26</v>
      </c>
    </row>
    <row r="70" spans="1:11" x14ac:dyDescent="0.35">
      <c r="A70" s="2">
        <v>69</v>
      </c>
      <c r="B70" s="2" t="s">
        <v>156</v>
      </c>
      <c r="C70" s="3">
        <v>60</v>
      </c>
      <c r="D70" s="2" t="s">
        <v>157</v>
      </c>
      <c r="E70" s="2" t="s">
        <v>145</v>
      </c>
      <c r="F70" s="2" t="s">
        <v>89</v>
      </c>
      <c r="G70" s="2">
        <v>10</v>
      </c>
      <c r="H70" s="2" t="str">
        <f>Configuracion!$B$2</f>
        <v>ON</v>
      </c>
      <c r="I70" s="4">
        <f>Configuracion!$B$3</f>
        <v>0.15</v>
      </c>
      <c r="J70" s="2" t="str">
        <f>IF(UPPER(Configuracion!$B$2)="ON",Configuracion!$B$4,"")</f>
        <v>follow+like+comenta=15%</v>
      </c>
      <c r="K70" s="3">
        <f>IF(UPPER(Configuracion!$B$2)="ON",ROUND(C70*(1-Configuracion!$B$3),0),ROUND(C70,0))</f>
        <v>51</v>
      </c>
    </row>
    <row r="71" spans="1:11" ht="12.9" customHeight="1" x14ac:dyDescent="0.35">
      <c r="A71" s="2">
        <v>70</v>
      </c>
      <c r="B71" s="2" t="s">
        <v>158</v>
      </c>
      <c r="C71" s="3">
        <v>60</v>
      </c>
      <c r="D71" s="2" t="s">
        <v>159</v>
      </c>
      <c r="E71" s="2" t="s">
        <v>160</v>
      </c>
      <c r="F71" s="2" t="s">
        <v>89</v>
      </c>
      <c r="G71" s="2">
        <v>10</v>
      </c>
      <c r="H71" s="2" t="str">
        <f>Configuracion!$B$2</f>
        <v>ON</v>
      </c>
      <c r="I71" s="4">
        <f>Configuracion!$B$3</f>
        <v>0.15</v>
      </c>
      <c r="J71" s="2" t="str">
        <f>IF(UPPER(Configuracion!$B$2)="ON",Configuracion!$B$4,"")</f>
        <v>follow+like+comenta=15%</v>
      </c>
      <c r="K71" s="3">
        <f>IF(UPPER(Configuracion!$B$2)="ON",ROUND(C71*(1-Configuracion!$B$3),0),ROUND(C71,0))</f>
        <v>51</v>
      </c>
    </row>
    <row r="72" spans="1:11" x14ac:dyDescent="0.35">
      <c r="A72" s="2">
        <v>71</v>
      </c>
      <c r="B72" s="2" t="s">
        <v>161</v>
      </c>
      <c r="C72" s="3">
        <v>45</v>
      </c>
      <c r="D72" s="2" t="s">
        <v>162</v>
      </c>
      <c r="E72" s="2" t="s">
        <v>145</v>
      </c>
      <c r="F72" s="2" t="s">
        <v>89</v>
      </c>
      <c r="G72" s="2">
        <v>10</v>
      </c>
      <c r="H72" s="2" t="str">
        <f>Configuracion!$B$2</f>
        <v>ON</v>
      </c>
      <c r="I72" s="4">
        <f>Configuracion!$B$3</f>
        <v>0.15</v>
      </c>
      <c r="J72" s="2" t="str">
        <f>IF(UPPER(Configuracion!$B$2)="ON",Configuracion!$B$4,"")</f>
        <v>follow+like+comenta=15%</v>
      </c>
      <c r="K72" s="3">
        <f>IF(UPPER(Configuracion!$B$2)="ON",ROUND(C72*(1-Configuracion!$B$3),0),ROUND(C72,0))</f>
        <v>38</v>
      </c>
    </row>
    <row r="73" spans="1:11" x14ac:dyDescent="0.35">
      <c r="A73" s="2">
        <v>72</v>
      </c>
      <c r="B73" s="2" t="s">
        <v>163</v>
      </c>
      <c r="C73" s="3">
        <v>40</v>
      </c>
      <c r="D73" s="2" t="s">
        <v>164</v>
      </c>
      <c r="E73" s="2" t="s">
        <v>145</v>
      </c>
      <c r="F73" s="2" t="s">
        <v>89</v>
      </c>
      <c r="G73" s="2">
        <v>10</v>
      </c>
      <c r="H73" s="2" t="str">
        <f>Configuracion!$B$2</f>
        <v>ON</v>
      </c>
      <c r="I73" s="4">
        <f>Configuracion!$B$3</f>
        <v>0.15</v>
      </c>
      <c r="J73" s="2" t="str">
        <f>IF(UPPER(Configuracion!$B$2)="ON",Configuracion!$B$4,"")</f>
        <v>follow+like+comenta=15%</v>
      </c>
      <c r="K73" s="3">
        <f>IF(UPPER(Configuracion!$B$2)="ON",ROUND(C73*(1-Configuracion!$B$3),0),ROUND(C73,0))</f>
        <v>34</v>
      </c>
    </row>
    <row r="74" spans="1:11" x14ac:dyDescent="0.35">
      <c r="A74" s="2">
        <v>73</v>
      </c>
      <c r="B74" s="2" t="s">
        <v>863</v>
      </c>
      <c r="C74" s="3">
        <v>290</v>
      </c>
      <c r="D74" s="2" t="s">
        <v>165</v>
      </c>
      <c r="E74" s="2" t="s">
        <v>166</v>
      </c>
      <c r="F74" s="2" t="s">
        <v>89</v>
      </c>
      <c r="G74" s="2">
        <v>5</v>
      </c>
      <c r="H74" s="2" t="str">
        <f>Configuracion!$B$2</f>
        <v>ON</v>
      </c>
      <c r="I74" s="4">
        <f>Configuracion!$B$3</f>
        <v>0.15</v>
      </c>
      <c r="J74" s="2" t="str">
        <f>IF(UPPER(Configuracion!$B$2)="ON",Configuracion!$B$4,"")</f>
        <v>follow+like+comenta=15%</v>
      </c>
      <c r="K74" s="3">
        <f>IF(UPPER(Configuracion!$B$2)="ON",ROUND(C74*(1-Configuracion!$B$3),0),ROUND(C74,0))</f>
        <v>247</v>
      </c>
    </row>
    <row r="75" spans="1:11" x14ac:dyDescent="0.35">
      <c r="A75" s="2">
        <v>74</v>
      </c>
      <c r="B75" s="2" t="s">
        <v>167</v>
      </c>
      <c r="C75" s="3">
        <v>75</v>
      </c>
      <c r="D75" s="2" t="s">
        <v>168</v>
      </c>
      <c r="E75" s="2" t="s">
        <v>169</v>
      </c>
      <c r="F75" s="2" t="s">
        <v>127</v>
      </c>
      <c r="G75" s="2">
        <v>10</v>
      </c>
      <c r="H75" s="2" t="str">
        <f>Configuracion!$B$2</f>
        <v>ON</v>
      </c>
      <c r="I75" s="4">
        <f>Configuracion!$B$3</f>
        <v>0.15</v>
      </c>
      <c r="J75" s="2" t="str">
        <f>IF(UPPER(Configuracion!$B$2)="ON",Configuracion!$B$4,"")</f>
        <v>follow+like+comenta=15%</v>
      </c>
      <c r="K75" s="3">
        <f>IF(UPPER(Configuracion!$B$2)="ON",ROUND(C75*(1-Configuracion!$B$3),0),ROUND(C75,0))</f>
        <v>64</v>
      </c>
    </row>
    <row r="76" spans="1:11" x14ac:dyDescent="0.35">
      <c r="A76" s="2">
        <v>75</v>
      </c>
      <c r="B76" s="2" t="s">
        <v>170</v>
      </c>
      <c r="C76" s="3">
        <v>75</v>
      </c>
      <c r="D76" s="2" t="s">
        <v>171</v>
      </c>
      <c r="E76" s="2" t="s">
        <v>169</v>
      </c>
      <c r="F76" s="2" t="s">
        <v>127</v>
      </c>
      <c r="G76" s="2">
        <v>10</v>
      </c>
      <c r="H76" s="2" t="str">
        <f>Configuracion!$B$2</f>
        <v>ON</v>
      </c>
      <c r="I76" s="4">
        <f>Configuracion!$B$3</f>
        <v>0.15</v>
      </c>
      <c r="J76" s="2" t="str">
        <f>IF(UPPER(Configuracion!$B$2)="ON",Configuracion!$B$4,"")</f>
        <v>follow+like+comenta=15%</v>
      </c>
      <c r="K76" s="3">
        <f>IF(UPPER(Configuracion!$B$2)="ON",ROUND(C76*(1-Configuracion!$B$3),0),ROUND(C76,0))</f>
        <v>64</v>
      </c>
    </row>
    <row r="77" spans="1:11" x14ac:dyDescent="0.35">
      <c r="A77" s="2">
        <v>76</v>
      </c>
      <c r="B77" s="2" t="s">
        <v>172</v>
      </c>
      <c r="C77" s="3">
        <v>75</v>
      </c>
      <c r="D77" s="2" t="s">
        <v>173</v>
      </c>
      <c r="E77" s="2" t="s">
        <v>169</v>
      </c>
      <c r="F77" s="2" t="s">
        <v>127</v>
      </c>
      <c r="G77" s="2">
        <v>10</v>
      </c>
      <c r="H77" s="2" t="str">
        <f>Configuracion!$B$2</f>
        <v>ON</v>
      </c>
      <c r="I77" s="4">
        <f>Configuracion!$B$3</f>
        <v>0.15</v>
      </c>
      <c r="J77" s="2" t="str">
        <f>IF(UPPER(Configuracion!$B$2)="ON",Configuracion!$B$4,"")</f>
        <v>follow+like+comenta=15%</v>
      </c>
      <c r="K77" s="3">
        <f>IF(UPPER(Configuracion!$B$2)="ON",ROUND(C77*(1-Configuracion!$B$3),0),ROUND(C77,0))</f>
        <v>64</v>
      </c>
    </row>
    <row r="78" spans="1:11" x14ac:dyDescent="0.35">
      <c r="A78" s="2">
        <v>77</v>
      </c>
      <c r="B78" s="2" t="s">
        <v>174</v>
      </c>
      <c r="C78" s="3">
        <v>70</v>
      </c>
      <c r="D78" s="2" t="s">
        <v>175</v>
      </c>
      <c r="E78" s="2" t="s">
        <v>169</v>
      </c>
      <c r="F78" s="2" t="s">
        <v>127</v>
      </c>
      <c r="G78" s="2">
        <v>10</v>
      </c>
      <c r="H78" s="2" t="str">
        <f>Configuracion!$B$2</f>
        <v>ON</v>
      </c>
      <c r="I78" s="4">
        <f>Configuracion!$B$3</f>
        <v>0.15</v>
      </c>
      <c r="J78" s="2" t="str">
        <f>IF(UPPER(Configuracion!$B$2)="ON",Configuracion!$B$4,"")</f>
        <v>follow+like+comenta=15%</v>
      </c>
      <c r="K78" s="3">
        <f>IF(UPPER(Configuracion!$B$2)="ON",ROUND(C78*(1-Configuracion!$B$3),0),ROUND(C78,0))</f>
        <v>60</v>
      </c>
    </row>
    <row r="79" spans="1:11" x14ac:dyDescent="0.35">
      <c r="A79" s="2">
        <v>78</v>
      </c>
      <c r="B79" s="2" t="s">
        <v>176</v>
      </c>
      <c r="C79" s="3">
        <v>85</v>
      </c>
      <c r="D79" s="2" t="s">
        <v>177</v>
      </c>
      <c r="E79" s="2" t="s">
        <v>169</v>
      </c>
      <c r="F79" s="2" t="s">
        <v>127</v>
      </c>
      <c r="G79" s="2">
        <v>10</v>
      </c>
      <c r="H79" s="2" t="str">
        <f>Configuracion!$B$2</f>
        <v>ON</v>
      </c>
      <c r="I79" s="4">
        <f>Configuracion!$B$3</f>
        <v>0.15</v>
      </c>
      <c r="J79" s="2" t="str">
        <f>IF(UPPER(Configuracion!$B$2)="ON",Configuracion!$B$4,"")</f>
        <v>follow+like+comenta=15%</v>
      </c>
      <c r="K79" s="3">
        <f>IF(UPPER(Configuracion!$B$2)="ON",ROUND(C79*(1-Configuracion!$B$3),0),ROUND(C79,0))</f>
        <v>72</v>
      </c>
    </row>
    <row r="80" spans="1:11" x14ac:dyDescent="0.35">
      <c r="A80" s="2">
        <v>79</v>
      </c>
      <c r="B80" s="2" t="s">
        <v>178</v>
      </c>
      <c r="C80" s="3">
        <v>65</v>
      </c>
      <c r="D80" s="2" t="s">
        <v>179</v>
      </c>
      <c r="E80" s="2" t="s">
        <v>169</v>
      </c>
      <c r="F80" s="2" t="s">
        <v>127</v>
      </c>
      <c r="G80" s="2">
        <v>10</v>
      </c>
      <c r="H80" s="2" t="str">
        <f>Configuracion!$B$2</f>
        <v>ON</v>
      </c>
      <c r="I80" s="4">
        <f>Configuracion!$B$3</f>
        <v>0.15</v>
      </c>
      <c r="J80" s="2" t="str">
        <f>IF(UPPER(Configuracion!$B$2)="ON",Configuracion!$B$4,"")</f>
        <v>follow+like+comenta=15%</v>
      </c>
      <c r="K80" s="3">
        <f>IF(UPPER(Configuracion!$B$2)="ON",ROUND(C80*(1-Configuracion!$B$3),0),ROUND(C80,0))</f>
        <v>55</v>
      </c>
    </row>
    <row r="81" spans="1:11" x14ac:dyDescent="0.35">
      <c r="A81" s="2">
        <v>80</v>
      </c>
      <c r="B81" s="2" t="s">
        <v>180</v>
      </c>
      <c r="C81" s="3">
        <v>75</v>
      </c>
      <c r="D81" s="2" t="s">
        <v>181</v>
      </c>
      <c r="E81" s="2" t="s">
        <v>182</v>
      </c>
      <c r="F81" s="2" t="s">
        <v>127</v>
      </c>
      <c r="G81" s="2">
        <v>10</v>
      </c>
      <c r="H81" s="2" t="str">
        <f>Configuracion!$B$2</f>
        <v>ON</v>
      </c>
      <c r="I81" s="4">
        <f>Configuracion!$B$3</f>
        <v>0.15</v>
      </c>
      <c r="J81" s="2" t="str">
        <f>IF(UPPER(Configuracion!$B$2)="ON",Configuracion!$B$4,"")</f>
        <v>follow+like+comenta=15%</v>
      </c>
      <c r="K81" s="3">
        <f>IF(UPPER(Configuracion!$B$2)="ON",ROUND(C81*(1-Configuracion!$B$3),0),ROUND(C81,0))</f>
        <v>64</v>
      </c>
    </row>
    <row r="82" spans="1:11" x14ac:dyDescent="0.35">
      <c r="A82" s="2">
        <v>81</v>
      </c>
      <c r="B82" s="2" t="s">
        <v>183</v>
      </c>
      <c r="C82" s="3">
        <v>75</v>
      </c>
      <c r="D82" s="2" t="s">
        <v>184</v>
      </c>
      <c r="E82" s="2" t="s">
        <v>182</v>
      </c>
      <c r="F82" s="2" t="s">
        <v>127</v>
      </c>
      <c r="G82" s="2">
        <v>10</v>
      </c>
      <c r="H82" s="2" t="str">
        <f>Configuracion!$B$2</f>
        <v>ON</v>
      </c>
      <c r="I82" s="4">
        <f>Configuracion!$B$3</f>
        <v>0.15</v>
      </c>
      <c r="J82" s="2" t="str">
        <f>IF(UPPER(Configuracion!$B$2)="ON",Configuracion!$B$4,"")</f>
        <v>follow+like+comenta=15%</v>
      </c>
      <c r="K82" s="3">
        <f>IF(UPPER(Configuracion!$B$2)="ON",ROUND(C82*(1-Configuracion!$B$3),0),ROUND(C82,0))</f>
        <v>64</v>
      </c>
    </row>
    <row r="83" spans="1:11" ht="12.9" customHeight="1" x14ac:dyDescent="0.35">
      <c r="A83" s="2">
        <v>82</v>
      </c>
      <c r="B83" s="2" t="s">
        <v>185</v>
      </c>
      <c r="C83" s="3">
        <v>45</v>
      </c>
      <c r="D83" s="2" t="s">
        <v>186</v>
      </c>
      <c r="E83" s="2" t="s">
        <v>187</v>
      </c>
      <c r="F83" s="2" t="s">
        <v>89</v>
      </c>
      <c r="G83" s="2">
        <v>10</v>
      </c>
      <c r="H83" s="2" t="str">
        <f>Configuracion!$B$2</f>
        <v>ON</v>
      </c>
      <c r="I83" s="4">
        <f>Configuracion!$B$3</f>
        <v>0.15</v>
      </c>
      <c r="J83" s="2" t="str">
        <f>IF(UPPER(Configuracion!$B$2)="ON",Configuracion!$B$4,"")</f>
        <v>follow+like+comenta=15%</v>
      </c>
      <c r="K83" s="3">
        <f>IF(UPPER(Configuracion!$B$2)="ON",ROUND(C83*(1-Configuracion!$B$3),0),ROUND(C83,0))</f>
        <v>38</v>
      </c>
    </row>
    <row r="84" spans="1:11" ht="12.9" customHeight="1" x14ac:dyDescent="0.35">
      <c r="A84" s="2">
        <v>83</v>
      </c>
      <c r="B84" s="2" t="s">
        <v>188</v>
      </c>
      <c r="C84" s="3">
        <v>35</v>
      </c>
      <c r="D84" s="2" t="s">
        <v>189</v>
      </c>
      <c r="E84" s="2" t="s">
        <v>187</v>
      </c>
      <c r="F84" s="2" t="s">
        <v>89</v>
      </c>
      <c r="G84" s="2">
        <v>10</v>
      </c>
      <c r="H84" s="2" t="str">
        <f>Configuracion!$B$2</f>
        <v>ON</v>
      </c>
      <c r="I84" s="4">
        <f>Configuracion!$B$3</f>
        <v>0.15</v>
      </c>
      <c r="J84" s="2" t="str">
        <f>IF(UPPER(Configuracion!$B$2)="ON",Configuracion!$B$4,"")</f>
        <v>follow+like+comenta=15%</v>
      </c>
      <c r="K84" s="3">
        <f>IF(UPPER(Configuracion!$B$2)="ON",ROUND(C84*(1-Configuracion!$B$3),0),ROUND(C84,0))</f>
        <v>30</v>
      </c>
    </row>
    <row r="85" spans="1:11" ht="12.9" customHeight="1" x14ac:dyDescent="0.35">
      <c r="A85" s="2">
        <v>84</v>
      </c>
      <c r="B85" s="2" t="s">
        <v>190</v>
      </c>
      <c r="C85" s="3">
        <v>40</v>
      </c>
      <c r="D85" s="2" t="s">
        <v>191</v>
      </c>
      <c r="E85" s="2" t="s">
        <v>187</v>
      </c>
      <c r="F85" s="2" t="s">
        <v>89</v>
      </c>
      <c r="G85" s="2">
        <v>10</v>
      </c>
      <c r="H85" s="2" t="str">
        <f>Configuracion!$B$2</f>
        <v>ON</v>
      </c>
      <c r="I85" s="4">
        <f>Configuracion!$B$3</f>
        <v>0.15</v>
      </c>
      <c r="J85" s="2" t="str">
        <f>IF(UPPER(Configuracion!$B$2)="ON",Configuracion!$B$4,"")</f>
        <v>follow+like+comenta=15%</v>
      </c>
      <c r="K85" s="3">
        <f>IF(UPPER(Configuracion!$B$2)="ON",ROUND(C85*(1-Configuracion!$B$3),0),ROUND(C85,0))</f>
        <v>34</v>
      </c>
    </row>
    <row r="86" spans="1:11" ht="12.9" customHeight="1" x14ac:dyDescent="0.35">
      <c r="A86" s="2">
        <v>85</v>
      </c>
      <c r="B86" s="2" t="s">
        <v>192</v>
      </c>
      <c r="C86" s="3">
        <v>30</v>
      </c>
      <c r="D86" s="2" t="s">
        <v>193</v>
      </c>
      <c r="E86" s="2" t="s">
        <v>187</v>
      </c>
      <c r="F86" s="2" t="s">
        <v>89</v>
      </c>
      <c r="G86" s="2">
        <v>10</v>
      </c>
      <c r="H86" s="2" t="str">
        <f>Configuracion!$B$2</f>
        <v>ON</v>
      </c>
      <c r="I86" s="4">
        <f>Configuracion!$B$3</f>
        <v>0.15</v>
      </c>
      <c r="J86" s="2" t="str">
        <f>IF(UPPER(Configuracion!$B$2)="ON",Configuracion!$B$4,"")</f>
        <v>follow+like+comenta=15%</v>
      </c>
      <c r="K86" s="3">
        <f>IF(UPPER(Configuracion!$B$2)="ON",ROUND(C86*(1-Configuracion!$B$3),0),ROUND(C86,0))</f>
        <v>26</v>
      </c>
    </row>
    <row r="87" spans="1:11" ht="12.9" customHeight="1" x14ac:dyDescent="0.35">
      <c r="A87" s="2">
        <v>86</v>
      </c>
      <c r="B87" s="2" t="s">
        <v>194</v>
      </c>
      <c r="C87" s="3">
        <v>35</v>
      </c>
      <c r="D87" s="2" t="s">
        <v>195</v>
      </c>
      <c r="E87" s="2" t="s">
        <v>187</v>
      </c>
      <c r="F87" s="2" t="s">
        <v>89</v>
      </c>
      <c r="G87" s="2">
        <v>10</v>
      </c>
      <c r="H87" s="2" t="str">
        <f>Configuracion!$B$2</f>
        <v>ON</v>
      </c>
      <c r="I87" s="4">
        <f>Configuracion!$B$3</f>
        <v>0.15</v>
      </c>
      <c r="J87" s="2" t="str">
        <f>IF(UPPER(Configuracion!$B$2)="ON",Configuracion!$B$4,"")</f>
        <v>follow+like+comenta=15%</v>
      </c>
      <c r="K87" s="3">
        <f>IF(UPPER(Configuracion!$B$2)="ON",ROUND(C87*(1-Configuracion!$B$3),0),ROUND(C87,0))</f>
        <v>30</v>
      </c>
    </row>
    <row r="88" spans="1:11" ht="12.9" customHeight="1" x14ac:dyDescent="0.35">
      <c r="A88" s="2">
        <v>87</v>
      </c>
      <c r="B88" s="2" t="s">
        <v>196</v>
      </c>
      <c r="C88" s="3">
        <v>35</v>
      </c>
      <c r="D88" s="2" t="s">
        <v>197</v>
      </c>
      <c r="E88" s="2" t="s">
        <v>187</v>
      </c>
      <c r="F88" s="2" t="s">
        <v>89</v>
      </c>
      <c r="G88" s="2">
        <v>10</v>
      </c>
      <c r="H88" s="2" t="str">
        <f>Configuracion!$B$2</f>
        <v>ON</v>
      </c>
      <c r="I88" s="4">
        <f>Configuracion!$B$3</f>
        <v>0.15</v>
      </c>
      <c r="J88" s="2" t="str">
        <f>IF(UPPER(Configuracion!$B$2)="ON",Configuracion!$B$4,"")</f>
        <v>follow+like+comenta=15%</v>
      </c>
      <c r="K88" s="3">
        <f>IF(UPPER(Configuracion!$B$2)="ON",ROUND(C88*(1-Configuracion!$B$3),0),ROUND(C88,0))</f>
        <v>30</v>
      </c>
    </row>
    <row r="89" spans="1:11" ht="12.9" customHeight="1" x14ac:dyDescent="0.35">
      <c r="A89" s="2">
        <v>88</v>
      </c>
      <c r="B89" s="2" t="s">
        <v>198</v>
      </c>
      <c r="C89" s="3">
        <v>35</v>
      </c>
      <c r="D89" s="2" t="s">
        <v>199</v>
      </c>
      <c r="E89" s="2" t="s">
        <v>187</v>
      </c>
      <c r="F89" s="2" t="s">
        <v>89</v>
      </c>
      <c r="G89" s="2">
        <v>10</v>
      </c>
      <c r="H89" s="2" t="str">
        <f>Configuracion!$B$2</f>
        <v>ON</v>
      </c>
      <c r="I89" s="4">
        <f>Configuracion!$B$3</f>
        <v>0.15</v>
      </c>
      <c r="J89" s="2" t="str">
        <f>IF(UPPER(Configuracion!$B$2)="ON",Configuracion!$B$4,"")</f>
        <v>follow+like+comenta=15%</v>
      </c>
      <c r="K89" s="3">
        <f>IF(UPPER(Configuracion!$B$2)="ON",ROUND(C89*(1-Configuracion!$B$3),0),ROUND(C89,0))</f>
        <v>30</v>
      </c>
    </row>
    <row r="90" spans="1:11" x14ac:dyDescent="0.35">
      <c r="A90" s="2">
        <v>89</v>
      </c>
      <c r="B90" s="2" t="s">
        <v>200</v>
      </c>
      <c r="C90" s="3">
        <v>30</v>
      </c>
      <c r="D90" s="2" t="s">
        <v>201</v>
      </c>
      <c r="E90" s="2" t="s">
        <v>202</v>
      </c>
      <c r="F90" s="2" t="s">
        <v>89</v>
      </c>
      <c r="G90" s="2">
        <v>5</v>
      </c>
      <c r="H90" s="2" t="str">
        <f>Configuracion!$B$2</f>
        <v>ON</v>
      </c>
      <c r="I90" s="4">
        <f>Configuracion!$B$3</f>
        <v>0.15</v>
      </c>
      <c r="J90" s="2" t="str">
        <f>IF(UPPER(Configuracion!$B$2)="ON",Configuracion!$B$4,"")</f>
        <v>follow+like+comenta=15%</v>
      </c>
      <c r="K90" s="3">
        <f>IF(UPPER(Configuracion!$B$2)="ON",ROUND(C90*(1-Configuracion!$B$3),0),ROUND(C90,0))</f>
        <v>26</v>
      </c>
    </row>
    <row r="91" spans="1:11" ht="12.9" customHeight="1" x14ac:dyDescent="0.35">
      <c r="A91" s="2">
        <v>90</v>
      </c>
      <c r="B91" s="2" t="s">
        <v>203</v>
      </c>
      <c r="C91" s="3">
        <v>25</v>
      </c>
      <c r="D91" s="2" t="s">
        <v>204</v>
      </c>
      <c r="E91" s="2" t="s">
        <v>205</v>
      </c>
      <c r="F91" s="2" t="s">
        <v>89</v>
      </c>
      <c r="G91" s="2">
        <v>10</v>
      </c>
      <c r="H91" s="2" t="str">
        <f>Configuracion!$B$2</f>
        <v>ON</v>
      </c>
      <c r="I91" s="4">
        <f>Configuracion!$B$3</f>
        <v>0.15</v>
      </c>
      <c r="J91" s="2" t="str">
        <f>IF(UPPER(Configuracion!$B$2)="ON",Configuracion!$B$4,"")</f>
        <v>follow+like+comenta=15%</v>
      </c>
      <c r="K91" s="3">
        <f>IF(UPPER(Configuracion!$B$2)="ON",ROUND(C91*(1-Configuracion!$B$3),0),ROUND(C91,0))</f>
        <v>21</v>
      </c>
    </row>
    <row r="92" spans="1:11" ht="12.9" customHeight="1" x14ac:dyDescent="0.35">
      <c r="A92" s="2">
        <v>91</v>
      </c>
      <c r="B92" s="2" t="s">
        <v>206</v>
      </c>
      <c r="C92" s="3">
        <v>25</v>
      </c>
      <c r="D92" s="2" t="s">
        <v>207</v>
      </c>
      <c r="E92" s="2" t="s">
        <v>205</v>
      </c>
      <c r="F92" s="2" t="s">
        <v>89</v>
      </c>
      <c r="G92" s="2">
        <v>10</v>
      </c>
      <c r="H92" s="2" t="str">
        <f>Configuracion!$B$2</f>
        <v>ON</v>
      </c>
      <c r="I92" s="4">
        <f>Configuracion!$B$3</f>
        <v>0.15</v>
      </c>
      <c r="J92" s="2" t="str">
        <f>IF(UPPER(Configuracion!$B$2)="ON",Configuracion!$B$4,"")</f>
        <v>follow+like+comenta=15%</v>
      </c>
      <c r="K92" s="3">
        <f>IF(UPPER(Configuracion!$B$2)="ON",ROUND(C92*(1-Configuracion!$B$3),0),ROUND(C92,0))</f>
        <v>21</v>
      </c>
    </row>
    <row r="93" spans="1:11" ht="12.9" customHeight="1" x14ac:dyDescent="0.35">
      <c r="A93" s="2">
        <v>92</v>
      </c>
      <c r="B93" s="2" t="s">
        <v>208</v>
      </c>
      <c r="C93" s="3">
        <v>20</v>
      </c>
      <c r="D93" s="2" t="s">
        <v>209</v>
      </c>
      <c r="E93" s="2" t="s">
        <v>205</v>
      </c>
      <c r="F93" s="2" t="s">
        <v>89</v>
      </c>
      <c r="G93" s="2">
        <v>10</v>
      </c>
      <c r="H93" s="2" t="str">
        <f>Configuracion!$B$2</f>
        <v>ON</v>
      </c>
      <c r="I93" s="4">
        <f>Configuracion!$B$3</f>
        <v>0.15</v>
      </c>
      <c r="J93" s="2" t="str">
        <f>IF(UPPER(Configuracion!$B$2)="ON",Configuracion!$B$4,"")</f>
        <v>follow+like+comenta=15%</v>
      </c>
      <c r="K93" s="3">
        <f>IF(UPPER(Configuracion!$B$2)="ON",ROUND(C93*(1-Configuracion!$B$3),0),ROUND(C93,0))</f>
        <v>17</v>
      </c>
    </row>
    <row r="94" spans="1:11" ht="12.9" customHeight="1" x14ac:dyDescent="0.35">
      <c r="A94" s="2">
        <v>93</v>
      </c>
      <c r="B94" s="2" t="s">
        <v>210</v>
      </c>
      <c r="C94" s="3">
        <v>20</v>
      </c>
      <c r="D94" s="2" t="s">
        <v>211</v>
      </c>
      <c r="E94" s="2" t="s">
        <v>205</v>
      </c>
      <c r="F94" s="2" t="s">
        <v>89</v>
      </c>
      <c r="G94" s="2">
        <v>10</v>
      </c>
      <c r="H94" s="2" t="str">
        <f>Configuracion!$B$2</f>
        <v>ON</v>
      </c>
      <c r="I94" s="4">
        <f>Configuracion!$B$3</f>
        <v>0.15</v>
      </c>
      <c r="J94" s="2" t="str">
        <f>IF(UPPER(Configuracion!$B$2)="ON",Configuracion!$B$4,"")</f>
        <v>follow+like+comenta=15%</v>
      </c>
      <c r="K94" s="3">
        <f>IF(UPPER(Configuracion!$B$2)="ON",ROUND(C94*(1-Configuracion!$B$3),0),ROUND(C94,0))</f>
        <v>17</v>
      </c>
    </row>
    <row r="95" spans="1:11" ht="12.9" customHeight="1" x14ac:dyDescent="0.35">
      <c r="A95" s="2">
        <v>94</v>
      </c>
      <c r="B95" s="2" t="s">
        <v>212</v>
      </c>
      <c r="C95" s="3">
        <v>20</v>
      </c>
      <c r="D95" s="2" t="s">
        <v>213</v>
      </c>
      <c r="E95" s="2" t="s">
        <v>205</v>
      </c>
      <c r="F95" s="2" t="s">
        <v>89</v>
      </c>
      <c r="G95" s="2">
        <v>10</v>
      </c>
      <c r="H95" s="2" t="str">
        <f>Configuracion!$B$2</f>
        <v>ON</v>
      </c>
      <c r="I95" s="4">
        <f>Configuracion!$B$3</f>
        <v>0.15</v>
      </c>
      <c r="J95" s="2" t="str">
        <f>IF(UPPER(Configuracion!$B$2)="ON",Configuracion!$B$4,"")</f>
        <v>follow+like+comenta=15%</v>
      </c>
      <c r="K95" s="3">
        <f>IF(UPPER(Configuracion!$B$2)="ON",ROUND(C95*(1-Configuracion!$B$3),0),ROUND(C95,0))</f>
        <v>17</v>
      </c>
    </row>
    <row r="96" spans="1:11" ht="12.9" customHeight="1" x14ac:dyDescent="0.35">
      <c r="A96" s="2">
        <v>95</v>
      </c>
      <c r="B96" s="2" t="s">
        <v>214</v>
      </c>
      <c r="C96" s="3">
        <v>20</v>
      </c>
      <c r="D96" s="2" t="s">
        <v>215</v>
      </c>
      <c r="E96" s="2" t="s">
        <v>205</v>
      </c>
      <c r="F96" s="2" t="s">
        <v>89</v>
      </c>
      <c r="G96" s="2">
        <v>10</v>
      </c>
      <c r="H96" s="2" t="str">
        <f>Configuracion!$B$2</f>
        <v>ON</v>
      </c>
      <c r="I96" s="4">
        <f>Configuracion!$B$3</f>
        <v>0.15</v>
      </c>
      <c r="J96" s="2" t="str">
        <f>IF(UPPER(Configuracion!$B$2)="ON",Configuracion!$B$4,"")</f>
        <v>follow+like+comenta=15%</v>
      </c>
      <c r="K96" s="3">
        <f>IF(UPPER(Configuracion!$B$2)="ON",ROUND(C96*(1-Configuracion!$B$3),0),ROUND(C96,0))</f>
        <v>17</v>
      </c>
    </row>
    <row r="97" spans="1:11" ht="12.9" customHeight="1" x14ac:dyDescent="0.35">
      <c r="A97" s="2">
        <v>96</v>
      </c>
      <c r="B97" s="2" t="s">
        <v>216</v>
      </c>
      <c r="C97" s="3">
        <v>25</v>
      </c>
      <c r="D97" s="2" t="s">
        <v>217</v>
      </c>
      <c r="E97" s="2" t="s">
        <v>205</v>
      </c>
      <c r="F97" s="2" t="s">
        <v>89</v>
      </c>
      <c r="G97" s="2">
        <v>10</v>
      </c>
      <c r="H97" s="2" t="str">
        <f>Configuracion!$B$2</f>
        <v>ON</v>
      </c>
      <c r="I97" s="4">
        <f>Configuracion!$B$3</f>
        <v>0.15</v>
      </c>
      <c r="J97" s="2" t="str">
        <f>IF(UPPER(Configuracion!$B$2)="ON",Configuracion!$B$4,"")</f>
        <v>follow+like+comenta=15%</v>
      </c>
      <c r="K97" s="3">
        <f>IF(UPPER(Configuracion!$B$2)="ON",ROUND(C97*(1-Configuracion!$B$3),0),ROUND(C97,0))</f>
        <v>21</v>
      </c>
    </row>
    <row r="98" spans="1:11" ht="12.9" customHeight="1" x14ac:dyDescent="0.35">
      <c r="A98" s="2">
        <v>97</v>
      </c>
      <c r="B98" s="2" t="s">
        <v>218</v>
      </c>
      <c r="C98" s="3">
        <v>20</v>
      </c>
      <c r="D98" s="2" t="s">
        <v>219</v>
      </c>
      <c r="E98" s="2" t="s">
        <v>205</v>
      </c>
      <c r="F98" s="2" t="s">
        <v>89</v>
      </c>
      <c r="G98" s="2">
        <v>10</v>
      </c>
      <c r="H98" s="2" t="str">
        <f>Configuracion!$B$2</f>
        <v>ON</v>
      </c>
      <c r="I98" s="4">
        <f>Configuracion!$B$3</f>
        <v>0.15</v>
      </c>
      <c r="J98" s="2" t="str">
        <f>IF(UPPER(Configuracion!$B$2)="ON",Configuracion!$B$4,"")</f>
        <v>follow+like+comenta=15%</v>
      </c>
      <c r="K98" s="3">
        <f>IF(UPPER(Configuracion!$B$2)="ON",ROUND(C98*(1-Configuracion!$B$3),0),ROUND(C98,0))</f>
        <v>17</v>
      </c>
    </row>
    <row r="99" spans="1:11" ht="12.9" customHeight="1" x14ac:dyDescent="0.35">
      <c r="A99" s="2">
        <v>98</v>
      </c>
      <c r="B99" s="2" t="s">
        <v>220</v>
      </c>
      <c r="C99" s="3">
        <v>20</v>
      </c>
      <c r="D99" s="2" t="s">
        <v>221</v>
      </c>
      <c r="E99" s="2" t="s">
        <v>205</v>
      </c>
      <c r="F99" s="2" t="s">
        <v>89</v>
      </c>
      <c r="G99" s="2">
        <v>10</v>
      </c>
      <c r="H99" s="2" t="str">
        <f>Configuracion!$B$2</f>
        <v>ON</v>
      </c>
      <c r="I99" s="4">
        <f>Configuracion!$B$3</f>
        <v>0.15</v>
      </c>
      <c r="J99" s="2" t="str">
        <f>IF(UPPER(Configuracion!$B$2)="ON",Configuracion!$B$4,"")</f>
        <v>follow+like+comenta=15%</v>
      </c>
      <c r="K99" s="3">
        <f>IF(UPPER(Configuracion!$B$2)="ON",ROUND(C99*(1-Configuracion!$B$3),0),ROUND(C99,0))</f>
        <v>17</v>
      </c>
    </row>
    <row r="100" spans="1:11" ht="12.9" customHeight="1" x14ac:dyDescent="0.35">
      <c r="A100" s="2">
        <v>99</v>
      </c>
      <c r="B100" s="2" t="s">
        <v>222</v>
      </c>
      <c r="C100" s="3">
        <v>20</v>
      </c>
      <c r="D100" s="2" t="s">
        <v>223</v>
      </c>
      <c r="E100" s="2" t="s">
        <v>205</v>
      </c>
      <c r="F100" s="2" t="s">
        <v>89</v>
      </c>
      <c r="G100" s="2">
        <v>10</v>
      </c>
      <c r="H100" s="2" t="str">
        <f>Configuracion!$B$2</f>
        <v>ON</v>
      </c>
      <c r="I100" s="4">
        <f>Configuracion!$B$3</f>
        <v>0.15</v>
      </c>
      <c r="J100" s="2" t="str">
        <f>IF(UPPER(Configuracion!$B$2)="ON",Configuracion!$B$4,"")</f>
        <v>follow+like+comenta=15%</v>
      </c>
      <c r="K100" s="3">
        <f>IF(UPPER(Configuracion!$B$2)="ON",ROUND(C100*(1-Configuracion!$B$3),0),ROUND(C100,0))</f>
        <v>17</v>
      </c>
    </row>
    <row r="101" spans="1:11" ht="12.9" customHeight="1" x14ac:dyDescent="0.35">
      <c r="A101" s="2">
        <v>100</v>
      </c>
      <c r="B101" s="2" t="s">
        <v>224</v>
      </c>
      <c r="C101" s="3">
        <v>25</v>
      </c>
      <c r="D101" s="2" t="s">
        <v>225</v>
      </c>
      <c r="E101" s="2" t="s">
        <v>205</v>
      </c>
      <c r="F101" s="2" t="s">
        <v>89</v>
      </c>
      <c r="G101" s="2">
        <v>10</v>
      </c>
      <c r="H101" s="2" t="str">
        <f>Configuracion!$B$2</f>
        <v>ON</v>
      </c>
      <c r="I101" s="4">
        <f>Configuracion!$B$3</f>
        <v>0.15</v>
      </c>
      <c r="J101" s="2" t="str">
        <f>IF(UPPER(Configuracion!$B$2)="ON",Configuracion!$B$4,"")</f>
        <v>follow+like+comenta=15%</v>
      </c>
      <c r="K101" s="3">
        <f>IF(UPPER(Configuracion!$B$2)="ON",ROUND(C101*(1-Configuracion!$B$3),0),ROUND(C101,0))</f>
        <v>21</v>
      </c>
    </row>
    <row r="102" spans="1:11" ht="12.9" customHeight="1" x14ac:dyDescent="0.35">
      <c r="A102" s="2">
        <v>101</v>
      </c>
      <c r="B102" s="2" t="s">
        <v>226</v>
      </c>
      <c r="C102" s="3">
        <v>20</v>
      </c>
      <c r="D102" s="2" t="s">
        <v>227</v>
      </c>
      <c r="E102" s="2" t="s">
        <v>205</v>
      </c>
      <c r="F102" s="2" t="s">
        <v>89</v>
      </c>
      <c r="G102" s="2">
        <v>10</v>
      </c>
      <c r="H102" s="2" t="str">
        <f>Configuracion!$B$2</f>
        <v>ON</v>
      </c>
      <c r="I102" s="4">
        <f>Configuracion!$B$3</f>
        <v>0.15</v>
      </c>
      <c r="J102" s="2" t="str">
        <f>IF(UPPER(Configuracion!$B$2)="ON",Configuracion!$B$4,"")</f>
        <v>follow+like+comenta=15%</v>
      </c>
      <c r="K102" s="3">
        <f>IF(UPPER(Configuracion!$B$2)="ON",ROUND(C102*(1-Configuracion!$B$3),0),ROUND(C102,0))</f>
        <v>17</v>
      </c>
    </row>
    <row r="103" spans="1:11" x14ac:dyDescent="0.35">
      <c r="A103" s="2">
        <v>102</v>
      </c>
      <c r="B103" s="2" t="s">
        <v>228</v>
      </c>
      <c r="C103" s="3">
        <v>80</v>
      </c>
      <c r="D103" s="2" t="s">
        <v>229</v>
      </c>
      <c r="E103" s="2" t="s">
        <v>230</v>
      </c>
      <c r="F103" s="2" t="s">
        <v>127</v>
      </c>
      <c r="G103" s="2">
        <v>5</v>
      </c>
      <c r="H103" s="2" t="str">
        <f>Configuracion!$B$2</f>
        <v>ON</v>
      </c>
      <c r="I103" s="4">
        <f>Configuracion!$B$3</f>
        <v>0.15</v>
      </c>
      <c r="J103" s="2" t="str">
        <f>IF(UPPER(Configuracion!$B$2)="ON",Configuracion!$B$4,"")</f>
        <v>follow+like+comenta=15%</v>
      </c>
      <c r="K103" s="3">
        <f>IF(UPPER(Configuracion!$B$2)="ON",ROUND(C103*(1-Configuracion!$B$3),0),ROUND(C103,0))</f>
        <v>68</v>
      </c>
    </row>
    <row r="104" spans="1:11" x14ac:dyDescent="0.35">
      <c r="A104" s="2">
        <v>103</v>
      </c>
      <c r="B104" s="2" t="s">
        <v>231</v>
      </c>
      <c r="C104" s="3">
        <v>75</v>
      </c>
      <c r="D104" s="2" t="s">
        <v>232</v>
      </c>
      <c r="E104" s="2" t="s">
        <v>230</v>
      </c>
      <c r="F104" s="2" t="s">
        <v>127</v>
      </c>
      <c r="G104" s="2">
        <v>5</v>
      </c>
      <c r="H104" s="2" t="str">
        <f>Configuracion!$B$2</f>
        <v>ON</v>
      </c>
      <c r="I104" s="4">
        <f>Configuracion!$B$3</f>
        <v>0.15</v>
      </c>
      <c r="J104" s="2" t="str">
        <f>IF(UPPER(Configuracion!$B$2)="ON",Configuracion!$B$4,"")</f>
        <v>follow+like+comenta=15%</v>
      </c>
      <c r="K104" s="3">
        <f>IF(UPPER(Configuracion!$B$2)="ON",ROUND(C104*(1-Configuracion!$B$3),0),ROUND(C104,0))</f>
        <v>64</v>
      </c>
    </row>
    <row r="105" spans="1:11" x14ac:dyDescent="0.35">
      <c r="A105" s="2">
        <v>104</v>
      </c>
      <c r="B105" s="2" t="s">
        <v>233</v>
      </c>
      <c r="C105" s="3">
        <v>75</v>
      </c>
      <c r="D105" s="2" t="s">
        <v>234</v>
      </c>
      <c r="E105" s="2" t="s">
        <v>230</v>
      </c>
      <c r="F105" s="2" t="s">
        <v>127</v>
      </c>
      <c r="G105" s="2">
        <v>5</v>
      </c>
      <c r="H105" s="2" t="str">
        <f>Configuracion!$B$2</f>
        <v>ON</v>
      </c>
      <c r="I105" s="4">
        <f>Configuracion!$B$3</f>
        <v>0.15</v>
      </c>
      <c r="J105" s="2" t="str">
        <f>IF(UPPER(Configuracion!$B$2)="ON",Configuracion!$B$4,"")</f>
        <v>follow+like+comenta=15%</v>
      </c>
      <c r="K105" s="3">
        <f>IF(UPPER(Configuracion!$B$2)="ON",ROUND(C105*(1-Configuracion!$B$3),0),ROUND(C105,0))</f>
        <v>64</v>
      </c>
    </row>
    <row r="106" spans="1:11" x14ac:dyDescent="0.35">
      <c r="A106" s="2">
        <v>105</v>
      </c>
      <c r="B106" s="2" t="s">
        <v>235</v>
      </c>
      <c r="C106" s="3">
        <v>50</v>
      </c>
      <c r="D106" s="2" t="s">
        <v>236</v>
      </c>
      <c r="E106" s="2" t="s">
        <v>237</v>
      </c>
      <c r="F106" s="2" t="s">
        <v>89</v>
      </c>
      <c r="G106" s="2">
        <v>10</v>
      </c>
      <c r="H106" s="2" t="str">
        <f>Configuracion!$B$2</f>
        <v>ON</v>
      </c>
      <c r="I106" s="4">
        <f>Configuracion!$B$3</f>
        <v>0.15</v>
      </c>
      <c r="J106" s="2" t="str">
        <f>IF(UPPER(Configuracion!$B$2)="ON",Configuracion!$B$4,"")</f>
        <v>follow+like+comenta=15%</v>
      </c>
      <c r="K106" s="3">
        <f>IF(UPPER(Configuracion!$B$2)="ON",ROUND(C106*(1-Configuracion!$B$3),0),ROUND(C106,0))</f>
        <v>43</v>
      </c>
    </row>
    <row r="107" spans="1:11" x14ac:dyDescent="0.35">
      <c r="A107" s="2">
        <v>106</v>
      </c>
      <c r="B107" s="2" t="s">
        <v>238</v>
      </c>
      <c r="C107" s="3">
        <v>50</v>
      </c>
      <c r="D107" s="2" t="s">
        <v>239</v>
      </c>
      <c r="E107" s="2" t="s">
        <v>237</v>
      </c>
      <c r="F107" s="2" t="s">
        <v>89</v>
      </c>
      <c r="G107" s="2">
        <v>10</v>
      </c>
      <c r="H107" s="2" t="str">
        <f>Configuracion!$B$2</f>
        <v>ON</v>
      </c>
      <c r="I107" s="4">
        <f>Configuracion!$B$3</f>
        <v>0.15</v>
      </c>
      <c r="J107" s="2" t="str">
        <f>IF(UPPER(Configuracion!$B$2)="ON",Configuracion!$B$4,"")</f>
        <v>follow+like+comenta=15%</v>
      </c>
      <c r="K107" s="3">
        <f>IF(UPPER(Configuracion!$B$2)="ON",ROUND(C107*(1-Configuracion!$B$3),0),ROUND(C107,0))</f>
        <v>43</v>
      </c>
    </row>
    <row r="108" spans="1:11" x14ac:dyDescent="0.35">
      <c r="A108" s="2">
        <v>107</v>
      </c>
      <c r="B108" s="2" t="s">
        <v>240</v>
      </c>
      <c r="C108" s="3">
        <v>50</v>
      </c>
      <c r="D108" s="2" t="s">
        <v>241</v>
      </c>
      <c r="E108" s="2" t="s">
        <v>237</v>
      </c>
      <c r="F108" s="2" t="s">
        <v>89</v>
      </c>
      <c r="G108" s="2">
        <v>10</v>
      </c>
      <c r="H108" s="2" t="str">
        <f>Configuracion!$B$2</f>
        <v>ON</v>
      </c>
      <c r="I108" s="4">
        <f>Configuracion!$B$3</f>
        <v>0.15</v>
      </c>
      <c r="J108" s="2" t="str">
        <f>IF(UPPER(Configuracion!$B$2)="ON",Configuracion!$B$4,"")</f>
        <v>follow+like+comenta=15%</v>
      </c>
      <c r="K108" s="3">
        <f>IF(UPPER(Configuracion!$B$2)="ON",ROUND(C108*(1-Configuracion!$B$3),0),ROUND(C108,0))</f>
        <v>43</v>
      </c>
    </row>
    <row r="109" spans="1:11" x14ac:dyDescent="0.35">
      <c r="A109" s="2">
        <v>108</v>
      </c>
      <c r="B109" s="2" t="s">
        <v>242</v>
      </c>
      <c r="C109" s="3">
        <v>50</v>
      </c>
      <c r="D109" s="2" t="s">
        <v>243</v>
      </c>
      <c r="E109" s="2" t="s">
        <v>237</v>
      </c>
      <c r="F109" s="2" t="s">
        <v>89</v>
      </c>
      <c r="G109" s="2">
        <v>10</v>
      </c>
      <c r="H109" s="2" t="str">
        <f>Configuracion!$B$2</f>
        <v>ON</v>
      </c>
      <c r="I109" s="4">
        <f>Configuracion!$B$3</f>
        <v>0.15</v>
      </c>
      <c r="J109" s="2" t="str">
        <f>IF(UPPER(Configuracion!$B$2)="ON",Configuracion!$B$4,"")</f>
        <v>follow+like+comenta=15%</v>
      </c>
      <c r="K109" s="3">
        <f>IF(UPPER(Configuracion!$B$2)="ON",ROUND(C109*(1-Configuracion!$B$3),0),ROUND(C109,0))</f>
        <v>43</v>
      </c>
    </row>
    <row r="110" spans="1:11" x14ac:dyDescent="0.35">
      <c r="A110" s="2">
        <v>109</v>
      </c>
      <c r="B110" s="2" t="s">
        <v>244</v>
      </c>
      <c r="C110" s="3">
        <v>50</v>
      </c>
      <c r="D110" s="2" t="s">
        <v>245</v>
      </c>
      <c r="E110" s="2" t="s">
        <v>237</v>
      </c>
      <c r="F110" s="2" t="s">
        <v>89</v>
      </c>
      <c r="G110" s="2">
        <v>10</v>
      </c>
      <c r="H110" s="2" t="str">
        <f>Configuracion!$B$2</f>
        <v>ON</v>
      </c>
      <c r="I110" s="4">
        <f>Configuracion!$B$3</f>
        <v>0.15</v>
      </c>
      <c r="J110" s="2" t="str">
        <f>IF(UPPER(Configuracion!$B$2)="ON",Configuracion!$B$4,"")</f>
        <v>follow+like+comenta=15%</v>
      </c>
      <c r="K110" s="3">
        <f>IF(UPPER(Configuracion!$B$2)="ON",ROUND(C110*(1-Configuracion!$B$3),0),ROUND(C110,0))</f>
        <v>43</v>
      </c>
    </row>
    <row r="111" spans="1:11" x14ac:dyDescent="0.35">
      <c r="A111" s="2">
        <v>110</v>
      </c>
      <c r="B111" s="2" t="s">
        <v>246</v>
      </c>
      <c r="C111" s="3">
        <v>35</v>
      </c>
      <c r="D111" s="2" t="s">
        <v>247</v>
      </c>
      <c r="E111" s="2" t="s">
        <v>248</v>
      </c>
      <c r="F111" s="2" t="s">
        <v>89</v>
      </c>
      <c r="G111" s="2">
        <v>12</v>
      </c>
      <c r="H111" s="2" t="str">
        <f>Configuracion!$B$2</f>
        <v>ON</v>
      </c>
      <c r="I111" s="4">
        <f>Configuracion!$B$3</f>
        <v>0.15</v>
      </c>
      <c r="J111" s="2" t="str">
        <f>IF(UPPER(Configuracion!$B$2)="ON",Configuracion!$B$4,"")</f>
        <v>follow+like+comenta=15%</v>
      </c>
      <c r="K111" s="3">
        <f>IF(UPPER(Configuracion!$B$2)="ON",ROUND(C111*(1-Configuracion!$B$3),0),ROUND(C111,0))</f>
        <v>30</v>
      </c>
    </row>
    <row r="112" spans="1:11" x14ac:dyDescent="0.35">
      <c r="A112" s="2">
        <v>111</v>
      </c>
      <c r="B112" s="2" t="s">
        <v>249</v>
      </c>
      <c r="C112" s="3">
        <v>30</v>
      </c>
      <c r="D112" s="2" t="s">
        <v>250</v>
      </c>
      <c r="E112" s="2" t="s">
        <v>251</v>
      </c>
      <c r="F112" s="2" t="s">
        <v>252</v>
      </c>
      <c r="G112" s="2">
        <v>5</v>
      </c>
      <c r="H112" s="2" t="str">
        <f>Configuracion!$B$2</f>
        <v>ON</v>
      </c>
      <c r="I112" s="4">
        <f>Configuracion!$B$3</f>
        <v>0.15</v>
      </c>
      <c r="J112" s="2" t="str">
        <f>IF(UPPER(Configuracion!$B$2)="ON",Configuracion!$B$4,"")</f>
        <v>follow+like+comenta=15%</v>
      </c>
      <c r="K112" s="3">
        <f>IF(UPPER(Configuracion!$B$2)="ON",ROUND(C112*(1-Configuracion!$B$3),0),ROUND(C112,0))</f>
        <v>26</v>
      </c>
    </row>
    <row r="113" spans="1:11" x14ac:dyDescent="0.35">
      <c r="A113" s="2">
        <v>112</v>
      </c>
      <c r="B113" s="2" t="s">
        <v>253</v>
      </c>
      <c r="C113" s="3">
        <v>35</v>
      </c>
      <c r="D113" s="2" t="s">
        <v>254</v>
      </c>
      <c r="E113" s="2" t="s">
        <v>251</v>
      </c>
      <c r="F113" s="2" t="s">
        <v>252</v>
      </c>
      <c r="G113" s="2">
        <v>5</v>
      </c>
      <c r="H113" s="2" t="str">
        <f>Configuracion!$B$2</f>
        <v>ON</v>
      </c>
      <c r="I113" s="4">
        <f>Configuracion!$B$3</f>
        <v>0.15</v>
      </c>
      <c r="J113" s="2" t="str">
        <f>IF(UPPER(Configuracion!$B$2)="ON",Configuracion!$B$4,"")</f>
        <v>follow+like+comenta=15%</v>
      </c>
      <c r="K113" s="3">
        <f>IF(UPPER(Configuracion!$B$2)="ON",ROUND(C113*(1-Configuracion!$B$3),0),ROUND(C113,0))</f>
        <v>30</v>
      </c>
    </row>
    <row r="114" spans="1:11" x14ac:dyDescent="0.35">
      <c r="A114" s="2">
        <v>113</v>
      </c>
      <c r="B114" s="2" t="s">
        <v>255</v>
      </c>
      <c r="C114" s="3">
        <v>45</v>
      </c>
      <c r="D114" s="2" t="s">
        <v>256</v>
      </c>
      <c r="E114" s="2" t="s">
        <v>251</v>
      </c>
      <c r="F114" s="2" t="s">
        <v>252</v>
      </c>
      <c r="G114" s="2">
        <v>5</v>
      </c>
      <c r="H114" s="2" t="str">
        <f>Configuracion!$B$2</f>
        <v>ON</v>
      </c>
      <c r="I114" s="4">
        <f>Configuracion!$B$3</f>
        <v>0.15</v>
      </c>
      <c r="J114" s="2" t="str">
        <f>IF(UPPER(Configuracion!$B$2)="ON",Configuracion!$B$4,"")</f>
        <v>follow+like+comenta=15%</v>
      </c>
      <c r="K114" s="3">
        <f>IF(UPPER(Configuracion!$B$2)="ON",ROUND(C114*(1-Configuracion!$B$3),0),ROUND(C114,0))</f>
        <v>38</v>
      </c>
    </row>
    <row r="115" spans="1:11" x14ac:dyDescent="0.35">
      <c r="A115" s="2">
        <v>114</v>
      </c>
      <c r="B115" s="2" t="s">
        <v>257</v>
      </c>
      <c r="C115" s="3">
        <v>30</v>
      </c>
      <c r="D115" s="2" t="s">
        <v>258</v>
      </c>
      <c r="E115" s="2" t="s">
        <v>251</v>
      </c>
      <c r="F115" s="2" t="s">
        <v>252</v>
      </c>
      <c r="G115" s="2">
        <v>5</v>
      </c>
      <c r="H115" s="2" t="str">
        <f>Configuracion!$B$2</f>
        <v>ON</v>
      </c>
      <c r="I115" s="4">
        <f>Configuracion!$B$3</f>
        <v>0.15</v>
      </c>
      <c r="J115" s="2" t="str">
        <f>IF(UPPER(Configuracion!$B$2)="ON",Configuracion!$B$4,"")</f>
        <v>follow+like+comenta=15%</v>
      </c>
      <c r="K115" s="3">
        <f>IF(UPPER(Configuracion!$B$2)="ON",ROUND(C115*(1-Configuracion!$B$3),0),ROUND(C115,0))</f>
        <v>26</v>
      </c>
    </row>
    <row r="116" spans="1:11" x14ac:dyDescent="0.35">
      <c r="A116" s="2">
        <v>115</v>
      </c>
      <c r="B116" s="2" t="s">
        <v>259</v>
      </c>
      <c r="C116" s="3">
        <v>25</v>
      </c>
      <c r="D116" s="2" t="s">
        <v>260</v>
      </c>
      <c r="E116" s="2" t="s">
        <v>261</v>
      </c>
      <c r="F116" s="2" t="s">
        <v>89</v>
      </c>
      <c r="G116" s="2">
        <v>11</v>
      </c>
      <c r="H116" s="2" t="str">
        <f>Configuracion!$B$2</f>
        <v>ON</v>
      </c>
      <c r="I116" s="4">
        <f>Configuracion!$B$3</f>
        <v>0.15</v>
      </c>
      <c r="J116" s="2" t="str">
        <f>IF(UPPER(Configuracion!$B$2)="ON",Configuracion!$B$4,"")</f>
        <v>follow+like+comenta=15%</v>
      </c>
      <c r="K116" s="3">
        <f>IF(UPPER(Configuracion!$B$2)="ON",ROUND(C116*(1-Configuracion!$B$3),0),ROUND(C116,0))</f>
        <v>21</v>
      </c>
    </row>
    <row r="117" spans="1:11" ht="12.9" customHeight="1" x14ac:dyDescent="0.35">
      <c r="A117" s="2">
        <v>116</v>
      </c>
      <c r="B117" s="2" t="s">
        <v>262</v>
      </c>
      <c r="C117" s="3">
        <v>40</v>
      </c>
      <c r="D117" s="2" t="s">
        <v>263</v>
      </c>
      <c r="E117" s="2" t="s">
        <v>264</v>
      </c>
      <c r="F117" s="2" t="s">
        <v>89</v>
      </c>
      <c r="G117" s="2">
        <v>5</v>
      </c>
      <c r="H117" s="2" t="str">
        <f>Configuracion!$B$2</f>
        <v>ON</v>
      </c>
      <c r="I117" s="4">
        <f>Configuracion!$B$3</f>
        <v>0.15</v>
      </c>
      <c r="J117" s="2" t="str">
        <f>IF(UPPER(Configuracion!$B$2)="ON",Configuracion!$B$4,"")</f>
        <v>follow+like+comenta=15%</v>
      </c>
      <c r="K117" s="3">
        <f>IF(UPPER(Configuracion!$B$2)="ON",ROUND(C117*(1-Configuracion!$B$3),0),ROUND(C117,0))</f>
        <v>34</v>
      </c>
    </row>
    <row r="118" spans="1:11" ht="12.9" customHeight="1" x14ac:dyDescent="0.35">
      <c r="A118" s="2">
        <v>117</v>
      </c>
      <c r="B118" s="2" t="s">
        <v>265</v>
      </c>
      <c r="C118" s="3">
        <v>40</v>
      </c>
      <c r="D118" s="2" t="s">
        <v>266</v>
      </c>
      <c r="E118" s="2" t="s">
        <v>264</v>
      </c>
      <c r="F118" s="2" t="s">
        <v>89</v>
      </c>
      <c r="G118" s="2">
        <v>5</v>
      </c>
      <c r="H118" s="2" t="str">
        <f>Configuracion!$B$2</f>
        <v>ON</v>
      </c>
      <c r="I118" s="4">
        <f>Configuracion!$B$3</f>
        <v>0.15</v>
      </c>
      <c r="J118" s="2" t="str">
        <f>IF(UPPER(Configuracion!$B$2)="ON",Configuracion!$B$4,"")</f>
        <v>follow+like+comenta=15%</v>
      </c>
      <c r="K118" s="3">
        <f>IF(UPPER(Configuracion!$B$2)="ON",ROUND(C118*(1-Configuracion!$B$3),0),ROUND(C118,0))</f>
        <v>34</v>
      </c>
    </row>
    <row r="119" spans="1:11" ht="12.9" customHeight="1" x14ac:dyDescent="0.35">
      <c r="A119" s="2">
        <v>118</v>
      </c>
      <c r="B119" s="2" t="s">
        <v>267</v>
      </c>
      <c r="C119" s="3">
        <v>45</v>
      </c>
      <c r="D119" s="2" t="s">
        <v>268</v>
      </c>
      <c r="E119" s="2" t="s">
        <v>264</v>
      </c>
      <c r="F119" s="2" t="s">
        <v>89</v>
      </c>
      <c r="G119" s="2">
        <v>5</v>
      </c>
      <c r="H119" s="2" t="str">
        <f>Configuracion!$B$2</f>
        <v>ON</v>
      </c>
      <c r="I119" s="4">
        <f>Configuracion!$B$3</f>
        <v>0.15</v>
      </c>
      <c r="J119" s="2" t="str">
        <f>IF(UPPER(Configuracion!$B$2)="ON",Configuracion!$B$4,"")</f>
        <v>follow+like+comenta=15%</v>
      </c>
      <c r="K119" s="3">
        <f>IF(UPPER(Configuracion!$B$2)="ON",ROUND(C119*(1-Configuracion!$B$3),0),ROUND(C119,0))</f>
        <v>38</v>
      </c>
    </row>
    <row r="120" spans="1:11" x14ac:dyDescent="0.35">
      <c r="A120" s="2">
        <v>119</v>
      </c>
      <c r="B120" s="2" t="s">
        <v>269</v>
      </c>
      <c r="C120" s="3">
        <v>30</v>
      </c>
      <c r="D120" s="2" t="s">
        <v>270</v>
      </c>
      <c r="E120" s="2" t="s">
        <v>271</v>
      </c>
      <c r="F120" s="2" t="s">
        <v>89</v>
      </c>
      <c r="G120" s="2">
        <v>5</v>
      </c>
      <c r="H120" s="2" t="str">
        <f>Configuracion!$B$2</f>
        <v>ON</v>
      </c>
      <c r="I120" s="4">
        <f>Configuracion!$B$3</f>
        <v>0.15</v>
      </c>
      <c r="J120" s="2" t="str">
        <f>IF(UPPER(Configuracion!$B$2)="ON",Configuracion!$B$4,"")</f>
        <v>follow+like+comenta=15%</v>
      </c>
      <c r="K120" s="3">
        <f>IF(UPPER(Configuracion!$B$2)="ON",ROUND(C120*(1-Configuracion!$B$3),0),ROUND(C120,0))</f>
        <v>26</v>
      </c>
    </row>
    <row r="121" spans="1:11" x14ac:dyDescent="0.35">
      <c r="A121" s="2">
        <v>120</v>
      </c>
      <c r="B121" s="2" t="s">
        <v>272</v>
      </c>
      <c r="C121" s="3">
        <v>35</v>
      </c>
      <c r="D121" s="2" t="s">
        <v>273</v>
      </c>
      <c r="E121" s="2" t="s">
        <v>271</v>
      </c>
      <c r="F121" s="2" t="s">
        <v>89</v>
      </c>
      <c r="G121" s="2">
        <v>5</v>
      </c>
      <c r="H121" s="2" t="str">
        <f>Configuracion!$B$2</f>
        <v>ON</v>
      </c>
      <c r="I121" s="4">
        <f>Configuracion!$B$3</f>
        <v>0.15</v>
      </c>
      <c r="J121" s="2" t="str">
        <f>IF(UPPER(Configuracion!$B$2)="ON",Configuracion!$B$4,"")</f>
        <v>follow+like+comenta=15%</v>
      </c>
      <c r="K121" s="3">
        <f>IF(UPPER(Configuracion!$B$2)="ON",ROUND(C121*(1-Configuracion!$B$3),0),ROUND(C121,0))</f>
        <v>30</v>
      </c>
    </row>
    <row r="122" spans="1:11" x14ac:dyDescent="0.35">
      <c r="A122" s="2">
        <v>121</v>
      </c>
      <c r="B122" s="2" t="s">
        <v>274</v>
      </c>
      <c r="C122" s="3">
        <v>45</v>
      </c>
      <c r="D122" s="2" t="s">
        <v>275</v>
      </c>
      <c r="E122" s="2" t="s">
        <v>276</v>
      </c>
      <c r="F122" s="2" t="s">
        <v>89</v>
      </c>
      <c r="G122" s="2">
        <v>5</v>
      </c>
      <c r="H122" s="2" t="str">
        <f>Configuracion!$B$2</f>
        <v>ON</v>
      </c>
      <c r="I122" s="4">
        <f>Configuracion!$B$3</f>
        <v>0.15</v>
      </c>
      <c r="J122" s="2" t="str">
        <f>IF(UPPER(Configuracion!$B$2)="ON",Configuracion!$B$4,"")</f>
        <v>follow+like+comenta=15%</v>
      </c>
      <c r="K122" s="3">
        <f>IF(UPPER(Configuracion!$B$2)="ON",ROUND(C122*(1-Configuracion!$B$3),0),ROUND(C122,0))</f>
        <v>38</v>
      </c>
    </row>
    <row r="123" spans="1:11" x14ac:dyDescent="0.35">
      <c r="A123" s="2">
        <v>122</v>
      </c>
      <c r="B123" s="2" t="s">
        <v>277</v>
      </c>
      <c r="C123" s="3">
        <v>50</v>
      </c>
      <c r="D123" s="2" t="s">
        <v>278</v>
      </c>
      <c r="E123" s="2" t="s">
        <v>276</v>
      </c>
      <c r="F123" s="2" t="s">
        <v>89</v>
      </c>
      <c r="G123" s="2">
        <v>5</v>
      </c>
      <c r="H123" s="2" t="str">
        <f>Configuracion!$B$2</f>
        <v>ON</v>
      </c>
      <c r="I123" s="4">
        <f>Configuracion!$B$3</f>
        <v>0.15</v>
      </c>
      <c r="J123" s="2" t="str">
        <f>IF(UPPER(Configuracion!$B$2)="ON",Configuracion!$B$4,"")</f>
        <v>follow+like+comenta=15%</v>
      </c>
      <c r="K123" s="3">
        <f>IF(UPPER(Configuracion!$B$2)="ON",ROUND(C123*(1-Configuracion!$B$3),0),ROUND(C123,0))</f>
        <v>43</v>
      </c>
    </row>
    <row r="124" spans="1:11" x14ac:dyDescent="0.35">
      <c r="A124" s="2">
        <v>123</v>
      </c>
      <c r="B124" s="2" t="s">
        <v>279</v>
      </c>
      <c r="C124" s="3">
        <v>45</v>
      </c>
      <c r="D124" s="2" t="s">
        <v>280</v>
      </c>
      <c r="E124" s="2" t="s">
        <v>276</v>
      </c>
      <c r="F124" s="2" t="s">
        <v>89</v>
      </c>
      <c r="G124" s="2">
        <v>5</v>
      </c>
      <c r="H124" s="2" t="str">
        <f>Configuracion!$B$2</f>
        <v>ON</v>
      </c>
      <c r="I124" s="4">
        <f>Configuracion!$B$3</f>
        <v>0.15</v>
      </c>
      <c r="J124" s="2" t="str">
        <f>IF(UPPER(Configuracion!$B$2)="ON",Configuracion!$B$4,"")</f>
        <v>follow+like+comenta=15%</v>
      </c>
      <c r="K124" s="3">
        <f>IF(UPPER(Configuracion!$B$2)="ON",ROUND(C124*(1-Configuracion!$B$3),0),ROUND(C124,0))</f>
        <v>38</v>
      </c>
    </row>
    <row r="125" spans="1:11" x14ac:dyDescent="0.35">
      <c r="A125" s="2">
        <v>124</v>
      </c>
      <c r="B125" s="2" t="s">
        <v>281</v>
      </c>
      <c r="C125" s="3">
        <v>30</v>
      </c>
      <c r="D125" s="2" t="s">
        <v>282</v>
      </c>
      <c r="E125" s="2" t="s">
        <v>276</v>
      </c>
      <c r="F125" s="2" t="s">
        <v>89</v>
      </c>
      <c r="G125" s="2">
        <v>5</v>
      </c>
      <c r="H125" s="2" t="str">
        <f>Configuracion!$B$2</f>
        <v>ON</v>
      </c>
      <c r="I125" s="4">
        <f>Configuracion!$B$3</f>
        <v>0.15</v>
      </c>
      <c r="J125" s="2" t="str">
        <f>IF(UPPER(Configuracion!$B$2)="ON",Configuracion!$B$4,"")</f>
        <v>follow+like+comenta=15%</v>
      </c>
      <c r="K125" s="3">
        <f>IF(UPPER(Configuracion!$B$2)="ON",ROUND(C125*(1-Configuracion!$B$3),0),ROUND(C125,0))</f>
        <v>26</v>
      </c>
    </row>
    <row r="126" spans="1:11" x14ac:dyDescent="0.35">
      <c r="A126" s="2">
        <v>125</v>
      </c>
      <c r="B126" s="2" t="s">
        <v>283</v>
      </c>
      <c r="C126" s="3">
        <v>40</v>
      </c>
      <c r="D126" s="2" t="s">
        <v>284</v>
      </c>
      <c r="E126" s="2" t="s">
        <v>276</v>
      </c>
      <c r="F126" s="2" t="s">
        <v>89</v>
      </c>
      <c r="G126" s="2">
        <v>5</v>
      </c>
      <c r="H126" s="2" t="str">
        <f>Configuracion!$B$2</f>
        <v>ON</v>
      </c>
      <c r="I126" s="4">
        <f>Configuracion!$B$3</f>
        <v>0.15</v>
      </c>
      <c r="J126" s="2" t="str">
        <f>IF(UPPER(Configuracion!$B$2)="ON",Configuracion!$B$4,"")</f>
        <v>follow+like+comenta=15%</v>
      </c>
      <c r="K126" s="3">
        <f>IF(UPPER(Configuracion!$B$2)="ON",ROUND(C126*(1-Configuracion!$B$3),0),ROUND(C126,0))</f>
        <v>34</v>
      </c>
    </row>
    <row r="127" spans="1:11" x14ac:dyDescent="0.35">
      <c r="A127" s="2">
        <v>126</v>
      </c>
      <c r="B127" s="2" t="s">
        <v>285</v>
      </c>
      <c r="C127" s="3">
        <v>30</v>
      </c>
      <c r="D127" s="2" t="s">
        <v>286</v>
      </c>
      <c r="E127" s="2" t="s">
        <v>276</v>
      </c>
      <c r="F127" s="2" t="s">
        <v>89</v>
      </c>
      <c r="G127" s="2">
        <v>5</v>
      </c>
      <c r="H127" s="2" t="str">
        <f>Configuracion!$B$2</f>
        <v>ON</v>
      </c>
      <c r="I127" s="4">
        <f>Configuracion!$B$3</f>
        <v>0.15</v>
      </c>
      <c r="J127" s="2" t="str">
        <f>IF(UPPER(Configuracion!$B$2)="ON",Configuracion!$B$4,"")</f>
        <v>follow+like+comenta=15%</v>
      </c>
      <c r="K127" s="3">
        <f>IF(UPPER(Configuracion!$B$2)="ON",ROUND(C127*(1-Configuracion!$B$3),0),ROUND(C127,0))</f>
        <v>26</v>
      </c>
    </row>
    <row r="128" spans="1:11" x14ac:dyDescent="0.35">
      <c r="A128" s="2">
        <v>127</v>
      </c>
      <c r="B128" s="2" t="s">
        <v>287</v>
      </c>
      <c r="C128" s="3">
        <v>40</v>
      </c>
      <c r="D128" s="2" t="s">
        <v>288</v>
      </c>
      <c r="E128" s="2" t="s">
        <v>276</v>
      </c>
      <c r="F128" s="2" t="s">
        <v>89</v>
      </c>
      <c r="G128" s="2">
        <v>5</v>
      </c>
      <c r="H128" s="2" t="str">
        <f>Configuracion!$B$2</f>
        <v>ON</v>
      </c>
      <c r="I128" s="4">
        <f>Configuracion!$B$3</f>
        <v>0.15</v>
      </c>
      <c r="J128" s="2" t="str">
        <f>IF(UPPER(Configuracion!$B$2)="ON",Configuracion!$B$4,"")</f>
        <v>follow+like+comenta=15%</v>
      </c>
      <c r="K128" s="3">
        <f>IF(UPPER(Configuracion!$B$2)="ON",ROUND(C128*(1-Configuracion!$B$3),0),ROUND(C128,0))</f>
        <v>34</v>
      </c>
    </row>
    <row r="129" spans="1:11" x14ac:dyDescent="0.35">
      <c r="A129" s="2">
        <v>128</v>
      </c>
      <c r="B129" s="2" t="s">
        <v>289</v>
      </c>
      <c r="C129" s="3">
        <v>45</v>
      </c>
      <c r="D129" s="2" t="s">
        <v>290</v>
      </c>
      <c r="E129" s="2" t="s">
        <v>276</v>
      </c>
      <c r="F129" s="2" t="s">
        <v>89</v>
      </c>
      <c r="G129" s="2">
        <v>5</v>
      </c>
      <c r="H129" s="2" t="str">
        <f>Configuracion!$B$2</f>
        <v>ON</v>
      </c>
      <c r="I129" s="4">
        <f>Configuracion!$B$3</f>
        <v>0.15</v>
      </c>
      <c r="J129" s="2" t="str">
        <f>IF(UPPER(Configuracion!$B$2)="ON",Configuracion!$B$4,"")</f>
        <v>follow+like+comenta=15%</v>
      </c>
      <c r="K129" s="3">
        <f>IF(UPPER(Configuracion!$B$2)="ON",ROUND(C129*(1-Configuracion!$B$3),0),ROUND(C129,0))</f>
        <v>38</v>
      </c>
    </row>
    <row r="130" spans="1:11" x14ac:dyDescent="0.35">
      <c r="A130" s="2">
        <v>129</v>
      </c>
      <c r="B130" s="2" t="s">
        <v>291</v>
      </c>
      <c r="C130" s="3">
        <v>25</v>
      </c>
      <c r="D130" s="2" t="s">
        <v>292</v>
      </c>
      <c r="E130" s="2" t="s">
        <v>276</v>
      </c>
      <c r="F130" s="2" t="s">
        <v>89</v>
      </c>
      <c r="G130" s="2">
        <v>5</v>
      </c>
      <c r="H130" s="2" t="str">
        <f>Configuracion!$B$2</f>
        <v>ON</v>
      </c>
      <c r="I130" s="4">
        <f>Configuracion!$B$3</f>
        <v>0.15</v>
      </c>
      <c r="J130" s="2" t="str">
        <f>IF(UPPER(Configuracion!$B$2)="ON",Configuracion!$B$4,"")</f>
        <v>follow+like+comenta=15%</v>
      </c>
      <c r="K130" s="3">
        <f>IF(UPPER(Configuracion!$B$2)="ON",ROUND(C130*(1-Configuracion!$B$3),0),ROUND(C130,0))</f>
        <v>21</v>
      </c>
    </row>
    <row r="131" spans="1:11" x14ac:dyDescent="0.35">
      <c r="A131" s="2">
        <v>130</v>
      </c>
      <c r="B131" s="2" t="s">
        <v>293</v>
      </c>
      <c r="C131" s="3">
        <v>35</v>
      </c>
      <c r="D131" s="2" t="s">
        <v>294</v>
      </c>
      <c r="E131" s="2" t="s">
        <v>276</v>
      </c>
      <c r="F131" s="2" t="s">
        <v>89</v>
      </c>
      <c r="G131" s="2">
        <v>5</v>
      </c>
      <c r="H131" s="2" t="str">
        <f>Configuracion!$B$2</f>
        <v>ON</v>
      </c>
      <c r="I131" s="4">
        <f>Configuracion!$B$3</f>
        <v>0.15</v>
      </c>
      <c r="J131" s="2" t="str">
        <f>IF(UPPER(Configuracion!$B$2)="ON",Configuracion!$B$4,"")</f>
        <v>follow+like+comenta=15%</v>
      </c>
      <c r="K131" s="3">
        <f>IF(UPPER(Configuracion!$B$2)="ON",ROUND(C131*(1-Configuracion!$B$3),0),ROUND(C131,0))</f>
        <v>30</v>
      </c>
    </row>
    <row r="132" spans="1:11" x14ac:dyDescent="0.35">
      <c r="A132" s="2">
        <v>131</v>
      </c>
      <c r="B132" s="2" t="s">
        <v>295</v>
      </c>
      <c r="C132" s="3">
        <v>30</v>
      </c>
      <c r="D132" s="2" t="s">
        <v>296</v>
      </c>
      <c r="E132" s="2" t="s">
        <v>276</v>
      </c>
      <c r="F132" s="2" t="s">
        <v>89</v>
      </c>
      <c r="G132" s="2">
        <v>5</v>
      </c>
      <c r="H132" s="2" t="str">
        <f>Configuracion!$B$2</f>
        <v>ON</v>
      </c>
      <c r="I132" s="4">
        <f>Configuracion!$B$3</f>
        <v>0.15</v>
      </c>
      <c r="J132" s="2" t="str">
        <f>IF(UPPER(Configuracion!$B$2)="ON",Configuracion!$B$4,"")</f>
        <v>follow+like+comenta=15%</v>
      </c>
      <c r="K132" s="3">
        <f>IF(UPPER(Configuracion!$B$2)="ON",ROUND(C132*(1-Configuracion!$B$3),0),ROUND(C132,0))</f>
        <v>26</v>
      </c>
    </row>
    <row r="133" spans="1:11" x14ac:dyDescent="0.35">
      <c r="A133" s="2">
        <v>132</v>
      </c>
      <c r="B133" s="2" t="s">
        <v>297</v>
      </c>
      <c r="C133" s="3">
        <v>35</v>
      </c>
      <c r="D133" s="2" t="s">
        <v>298</v>
      </c>
      <c r="E133" s="2" t="s">
        <v>299</v>
      </c>
      <c r="F133" s="2" t="s">
        <v>89</v>
      </c>
      <c r="G133" s="2">
        <v>10</v>
      </c>
      <c r="H133" s="2" t="str">
        <f>Configuracion!$B$2</f>
        <v>ON</v>
      </c>
      <c r="I133" s="4">
        <f>Configuracion!$B$3</f>
        <v>0.15</v>
      </c>
      <c r="J133" s="2" t="str">
        <f>IF(UPPER(Configuracion!$B$2)="ON",Configuracion!$B$4,"")</f>
        <v>follow+like+comenta=15%</v>
      </c>
      <c r="K133" s="3">
        <f>IF(UPPER(Configuracion!$B$2)="ON",ROUND(C133*(1-Configuracion!$B$3),0),ROUND(C133,0))</f>
        <v>30</v>
      </c>
    </row>
    <row r="134" spans="1:11" x14ac:dyDescent="0.35">
      <c r="A134" s="2">
        <v>133</v>
      </c>
      <c r="B134" s="2" t="s">
        <v>300</v>
      </c>
      <c r="C134" s="3">
        <v>30</v>
      </c>
      <c r="D134" s="2" t="s">
        <v>301</v>
      </c>
      <c r="E134" s="2" t="s">
        <v>299</v>
      </c>
      <c r="F134" s="2" t="s">
        <v>89</v>
      </c>
      <c r="G134" s="2">
        <v>10</v>
      </c>
      <c r="H134" s="2" t="str">
        <f>Configuracion!$B$2</f>
        <v>ON</v>
      </c>
      <c r="I134" s="4">
        <f>Configuracion!$B$3</f>
        <v>0.15</v>
      </c>
      <c r="J134" s="2" t="str">
        <f>IF(UPPER(Configuracion!$B$2)="ON",Configuracion!$B$4,"")</f>
        <v>follow+like+comenta=15%</v>
      </c>
      <c r="K134" s="3">
        <f>IF(UPPER(Configuracion!$B$2)="ON",ROUND(C134*(1-Configuracion!$B$3),0),ROUND(C134,0))</f>
        <v>26</v>
      </c>
    </row>
    <row r="135" spans="1:11" x14ac:dyDescent="0.35">
      <c r="A135" s="2">
        <v>134</v>
      </c>
      <c r="B135" s="2" t="s">
        <v>302</v>
      </c>
      <c r="C135" s="3">
        <v>55</v>
      </c>
      <c r="D135" s="2" t="s">
        <v>303</v>
      </c>
      <c r="E135" s="2" t="s">
        <v>299</v>
      </c>
      <c r="F135" s="2" t="s">
        <v>89</v>
      </c>
      <c r="G135" s="2">
        <v>10</v>
      </c>
      <c r="H135" s="2" t="str">
        <f>Configuracion!$B$2</f>
        <v>ON</v>
      </c>
      <c r="I135" s="4">
        <f>Configuracion!$B$3</f>
        <v>0.15</v>
      </c>
      <c r="J135" s="2" t="str">
        <f>IF(UPPER(Configuracion!$B$2)="ON",Configuracion!$B$4,"")</f>
        <v>follow+like+comenta=15%</v>
      </c>
      <c r="K135" s="3">
        <f>IF(UPPER(Configuracion!$B$2)="ON",ROUND(C135*(1-Configuracion!$B$3),0),ROUND(C135,0))</f>
        <v>47</v>
      </c>
    </row>
    <row r="136" spans="1:11" x14ac:dyDescent="0.35">
      <c r="A136" s="2">
        <v>135</v>
      </c>
      <c r="B136" s="2" t="s">
        <v>304</v>
      </c>
      <c r="C136" s="3">
        <v>25</v>
      </c>
      <c r="D136" s="2" t="s">
        <v>305</v>
      </c>
      <c r="E136" s="2" t="s">
        <v>299</v>
      </c>
      <c r="F136" s="2" t="s">
        <v>89</v>
      </c>
      <c r="G136" s="2">
        <v>10</v>
      </c>
      <c r="H136" s="2" t="str">
        <f>Configuracion!$B$2</f>
        <v>ON</v>
      </c>
      <c r="I136" s="4">
        <f>Configuracion!$B$3</f>
        <v>0.15</v>
      </c>
      <c r="J136" s="2" t="str">
        <f>IF(UPPER(Configuracion!$B$2)="ON",Configuracion!$B$4,"")</f>
        <v>follow+like+comenta=15%</v>
      </c>
      <c r="K136" s="3">
        <f>IF(UPPER(Configuracion!$B$2)="ON",ROUND(C136*(1-Configuracion!$B$3),0),ROUND(C136,0))</f>
        <v>21</v>
      </c>
    </row>
    <row r="137" spans="1:11" x14ac:dyDescent="0.35">
      <c r="A137" s="2">
        <v>136</v>
      </c>
      <c r="B137" s="2" t="s">
        <v>306</v>
      </c>
      <c r="C137" s="3">
        <v>30</v>
      </c>
      <c r="D137" s="2" t="s">
        <v>307</v>
      </c>
      <c r="E137" s="2" t="s">
        <v>299</v>
      </c>
      <c r="F137" s="2" t="s">
        <v>89</v>
      </c>
      <c r="G137" s="2">
        <v>10</v>
      </c>
      <c r="H137" s="2" t="str">
        <f>Configuracion!$B$2</f>
        <v>ON</v>
      </c>
      <c r="I137" s="4">
        <f>Configuracion!$B$3</f>
        <v>0.15</v>
      </c>
      <c r="J137" s="2" t="str">
        <f>IF(UPPER(Configuracion!$B$2)="ON",Configuracion!$B$4,"")</f>
        <v>follow+like+comenta=15%</v>
      </c>
      <c r="K137" s="3">
        <f>IF(UPPER(Configuracion!$B$2)="ON",ROUND(C137*(1-Configuracion!$B$3),0),ROUND(C137,0))</f>
        <v>26</v>
      </c>
    </row>
    <row r="138" spans="1:11" x14ac:dyDescent="0.35">
      <c r="A138" s="2">
        <v>137</v>
      </c>
      <c r="B138" s="2" t="s">
        <v>308</v>
      </c>
      <c r="C138" s="3">
        <v>60</v>
      </c>
      <c r="D138" s="2" t="s">
        <v>309</v>
      </c>
      <c r="E138" s="2" t="s">
        <v>88</v>
      </c>
      <c r="F138" s="2" t="s">
        <v>89</v>
      </c>
      <c r="G138" s="2">
        <v>10</v>
      </c>
      <c r="H138" s="2" t="str">
        <f>Configuracion!$B$2</f>
        <v>ON</v>
      </c>
      <c r="I138" s="4">
        <f>Configuracion!$B$3</f>
        <v>0.15</v>
      </c>
      <c r="J138" s="2" t="str">
        <f>IF(UPPER(Configuracion!$B$2)="ON",Configuracion!$B$4,"")</f>
        <v>follow+like+comenta=15%</v>
      </c>
      <c r="K138" s="3">
        <f>IF(UPPER(Configuracion!$B$2)="ON",ROUND(C138*(1-Configuracion!$B$3),0),ROUND(C138,0))</f>
        <v>51</v>
      </c>
    </row>
    <row r="139" spans="1:11" x14ac:dyDescent="0.35">
      <c r="A139" s="2">
        <v>138</v>
      </c>
      <c r="B139" s="2" t="s">
        <v>310</v>
      </c>
      <c r="C139" s="3">
        <v>45</v>
      </c>
      <c r="D139" s="2" t="s">
        <v>311</v>
      </c>
      <c r="E139" s="2" t="s">
        <v>88</v>
      </c>
      <c r="F139" s="2" t="s">
        <v>89</v>
      </c>
      <c r="G139" s="2">
        <v>10</v>
      </c>
      <c r="H139" s="2" t="str">
        <f>Configuracion!$B$2</f>
        <v>ON</v>
      </c>
      <c r="I139" s="4">
        <f>Configuracion!$B$3</f>
        <v>0.15</v>
      </c>
      <c r="J139" s="2" t="str">
        <f>IF(UPPER(Configuracion!$B$2)="ON",Configuracion!$B$4,"")</f>
        <v>follow+like+comenta=15%</v>
      </c>
      <c r="K139" s="3">
        <f>IF(UPPER(Configuracion!$B$2)="ON",ROUND(C139*(1-Configuracion!$B$3),0),ROUND(C139,0))</f>
        <v>38</v>
      </c>
    </row>
    <row r="140" spans="1:11" x14ac:dyDescent="0.35">
      <c r="A140" s="2">
        <v>139</v>
      </c>
      <c r="B140" s="2" t="s">
        <v>312</v>
      </c>
      <c r="C140" s="3">
        <v>60</v>
      </c>
      <c r="D140" s="2" t="s">
        <v>313</v>
      </c>
      <c r="E140" s="2" t="s">
        <v>88</v>
      </c>
      <c r="F140" s="2" t="s">
        <v>89</v>
      </c>
      <c r="G140" s="2">
        <v>15</v>
      </c>
      <c r="H140" s="2" t="str">
        <f>Configuracion!$B$2</f>
        <v>ON</v>
      </c>
      <c r="I140" s="4">
        <f>Configuracion!$B$3</f>
        <v>0.15</v>
      </c>
      <c r="J140" s="2" t="str">
        <f>IF(UPPER(Configuracion!$B$2)="ON",Configuracion!$B$4,"")</f>
        <v>follow+like+comenta=15%</v>
      </c>
      <c r="K140" s="3">
        <f>IF(UPPER(Configuracion!$B$2)="ON",ROUND(C140*(1-Configuracion!$B$3),0),ROUND(C140,0))</f>
        <v>51</v>
      </c>
    </row>
    <row r="141" spans="1:11" x14ac:dyDescent="0.35">
      <c r="A141" s="2">
        <v>140</v>
      </c>
      <c r="B141" s="2" t="s">
        <v>314</v>
      </c>
      <c r="C141" s="3">
        <v>55</v>
      </c>
      <c r="D141" s="2" t="s">
        <v>315</v>
      </c>
      <c r="E141" s="2" t="s">
        <v>88</v>
      </c>
      <c r="F141" s="2" t="s">
        <v>89</v>
      </c>
      <c r="G141" s="2">
        <v>10</v>
      </c>
      <c r="H141" s="2" t="str">
        <f>Configuracion!$B$2</f>
        <v>ON</v>
      </c>
      <c r="I141" s="4">
        <f>Configuracion!$B$3</f>
        <v>0.15</v>
      </c>
      <c r="J141" s="2" t="str">
        <f>IF(UPPER(Configuracion!$B$2)="ON",Configuracion!$B$4,"")</f>
        <v>follow+like+comenta=15%</v>
      </c>
      <c r="K141" s="3">
        <f>IF(UPPER(Configuracion!$B$2)="ON",ROUND(C141*(1-Configuracion!$B$3),0),ROUND(C141,0))</f>
        <v>47</v>
      </c>
    </row>
    <row r="142" spans="1:11" x14ac:dyDescent="0.35">
      <c r="A142" s="2">
        <v>141</v>
      </c>
      <c r="B142" s="2" t="s">
        <v>316</v>
      </c>
      <c r="C142" s="3">
        <v>35</v>
      </c>
      <c r="D142" s="2" t="s">
        <v>317</v>
      </c>
      <c r="E142" s="2" t="s">
        <v>88</v>
      </c>
      <c r="F142" s="2" t="s">
        <v>89</v>
      </c>
      <c r="G142" s="2">
        <v>10</v>
      </c>
      <c r="H142" s="2" t="str">
        <f>Configuracion!$B$2</f>
        <v>ON</v>
      </c>
      <c r="I142" s="4">
        <f>Configuracion!$B$3</f>
        <v>0.15</v>
      </c>
      <c r="J142" s="2" t="str">
        <f>IF(UPPER(Configuracion!$B$2)="ON",Configuracion!$B$4,"")</f>
        <v>follow+like+comenta=15%</v>
      </c>
      <c r="K142" s="3">
        <f>IF(UPPER(Configuracion!$B$2)="ON",ROUND(C142*(1-Configuracion!$B$3),0),ROUND(C142,0))</f>
        <v>30</v>
      </c>
    </row>
    <row r="143" spans="1:11" x14ac:dyDescent="0.35">
      <c r="A143" s="2">
        <v>142</v>
      </c>
      <c r="B143" s="2" t="s">
        <v>318</v>
      </c>
      <c r="C143" s="3">
        <v>55</v>
      </c>
      <c r="D143" s="2" t="s">
        <v>319</v>
      </c>
      <c r="E143" s="2" t="s">
        <v>88</v>
      </c>
      <c r="F143" s="2" t="s">
        <v>89</v>
      </c>
      <c r="G143" s="2">
        <v>5</v>
      </c>
      <c r="H143" s="2" t="str">
        <f>Configuracion!$B$2</f>
        <v>ON</v>
      </c>
      <c r="I143" s="4">
        <f>Configuracion!$B$3</f>
        <v>0.15</v>
      </c>
      <c r="J143" s="2" t="str">
        <f>IF(UPPER(Configuracion!$B$2)="ON",Configuracion!$B$4,"")</f>
        <v>follow+like+comenta=15%</v>
      </c>
      <c r="K143" s="3">
        <f>IF(UPPER(Configuracion!$B$2)="ON",ROUND(C143*(1-Configuracion!$B$3),0),ROUND(C143,0))</f>
        <v>47</v>
      </c>
    </row>
    <row r="144" spans="1:11" x14ac:dyDescent="0.35">
      <c r="A144" s="2">
        <v>143</v>
      </c>
      <c r="B144" s="2" t="s">
        <v>320</v>
      </c>
      <c r="C144" s="3">
        <v>50</v>
      </c>
      <c r="D144" s="2" t="s">
        <v>321</v>
      </c>
      <c r="E144" s="2" t="s">
        <v>88</v>
      </c>
      <c r="F144" s="2" t="s">
        <v>89</v>
      </c>
      <c r="G144" s="2">
        <v>5</v>
      </c>
      <c r="H144" s="2" t="str">
        <f>Configuracion!$B$2</f>
        <v>ON</v>
      </c>
      <c r="I144" s="4">
        <f>Configuracion!$B$3</f>
        <v>0.15</v>
      </c>
      <c r="J144" s="2" t="str">
        <f>IF(UPPER(Configuracion!$B$2)="ON",Configuracion!$B$4,"")</f>
        <v>follow+like+comenta=15%</v>
      </c>
      <c r="K144" s="3">
        <f>IF(UPPER(Configuracion!$B$2)="ON",ROUND(C144*(1-Configuracion!$B$3),0),ROUND(C144,0))</f>
        <v>43</v>
      </c>
    </row>
    <row r="145" spans="1:11" x14ac:dyDescent="0.35">
      <c r="A145" s="2">
        <v>144</v>
      </c>
      <c r="B145" s="2" t="s">
        <v>322</v>
      </c>
      <c r="C145" s="3">
        <v>40</v>
      </c>
      <c r="D145" s="2" t="s">
        <v>323</v>
      </c>
      <c r="E145" s="2" t="s">
        <v>88</v>
      </c>
      <c r="F145" s="2" t="s">
        <v>89</v>
      </c>
      <c r="G145" s="2">
        <v>5</v>
      </c>
      <c r="H145" s="2" t="str">
        <f>Configuracion!$B$2</f>
        <v>ON</v>
      </c>
      <c r="I145" s="4">
        <f>Configuracion!$B$3</f>
        <v>0.15</v>
      </c>
      <c r="J145" s="2" t="str">
        <f>IF(UPPER(Configuracion!$B$2)="ON",Configuracion!$B$4,"")</f>
        <v>follow+like+comenta=15%</v>
      </c>
      <c r="K145" s="3">
        <f>IF(UPPER(Configuracion!$B$2)="ON",ROUND(C145*(1-Configuracion!$B$3),0),ROUND(C145,0))</f>
        <v>34</v>
      </c>
    </row>
    <row r="146" spans="1:11" x14ac:dyDescent="0.35">
      <c r="A146" s="2">
        <v>145</v>
      </c>
      <c r="B146" s="2" t="s">
        <v>324</v>
      </c>
      <c r="C146" s="3">
        <v>35</v>
      </c>
      <c r="D146" s="2" t="s">
        <v>325</v>
      </c>
      <c r="E146" s="2" t="s">
        <v>88</v>
      </c>
      <c r="F146" s="2" t="s">
        <v>89</v>
      </c>
      <c r="G146" s="2">
        <v>10</v>
      </c>
      <c r="H146" s="2" t="str">
        <f>Configuracion!$B$2</f>
        <v>ON</v>
      </c>
      <c r="I146" s="4">
        <f>Configuracion!$B$3</f>
        <v>0.15</v>
      </c>
      <c r="J146" s="2" t="str">
        <f>IF(UPPER(Configuracion!$B$2)="ON",Configuracion!$B$4,"")</f>
        <v>follow+like+comenta=15%</v>
      </c>
      <c r="K146" s="3">
        <f>IF(UPPER(Configuracion!$B$2)="ON",ROUND(C146*(1-Configuracion!$B$3),0),ROUND(C146,0))</f>
        <v>30</v>
      </c>
    </row>
    <row r="147" spans="1:11" x14ac:dyDescent="0.35">
      <c r="A147" s="2">
        <v>146</v>
      </c>
      <c r="B147" s="2" t="s">
        <v>326</v>
      </c>
      <c r="C147" s="3">
        <v>45</v>
      </c>
      <c r="D147" s="2" t="s">
        <v>327</v>
      </c>
      <c r="E147" s="2" t="s">
        <v>88</v>
      </c>
      <c r="F147" s="2" t="s">
        <v>89</v>
      </c>
      <c r="G147" s="2">
        <v>15</v>
      </c>
      <c r="H147" s="2" t="str">
        <f>Configuracion!$B$2</f>
        <v>ON</v>
      </c>
      <c r="I147" s="4">
        <f>Configuracion!$B$3</f>
        <v>0.15</v>
      </c>
      <c r="J147" s="2" t="str">
        <f>IF(UPPER(Configuracion!$B$2)="ON",Configuracion!$B$4,"")</f>
        <v>follow+like+comenta=15%</v>
      </c>
      <c r="K147" s="3">
        <f>IF(UPPER(Configuracion!$B$2)="ON",ROUND(C147*(1-Configuracion!$B$3),0),ROUND(C147,0))</f>
        <v>38</v>
      </c>
    </row>
    <row r="148" spans="1:11" x14ac:dyDescent="0.35">
      <c r="A148" s="2">
        <v>147</v>
      </c>
      <c r="B148" s="2" t="s">
        <v>328</v>
      </c>
      <c r="C148" s="3">
        <v>45</v>
      </c>
      <c r="D148" s="2" t="s">
        <v>329</v>
      </c>
      <c r="E148" s="2" t="s">
        <v>88</v>
      </c>
      <c r="F148" s="2" t="s">
        <v>89</v>
      </c>
      <c r="G148" s="2">
        <v>15</v>
      </c>
      <c r="H148" s="2" t="str">
        <f>Configuracion!$B$2</f>
        <v>ON</v>
      </c>
      <c r="I148" s="4">
        <f>Configuracion!$B$3</f>
        <v>0.15</v>
      </c>
      <c r="J148" s="2" t="str">
        <f>IF(UPPER(Configuracion!$B$2)="ON",Configuracion!$B$4,"")</f>
        <v>follow+like+comenta=15%</v>
      </c>
      <c r="K148" s="3">
        <f>IF(UPPER(Configuracion!$B$2)="ON",ROUND(C148*(1-Configuracion!$B$3),0),ROUND(C148,0))</f>
        <v>38</v>
      </c>
    </row>
    <row r="149" spans="1:11" x14ac:dyDescent="0.35">
      <c r="A149" s="2">
        <v>148</v>
      </c>
      <c r="B149" s="2" t="s">
        <v>330</v>
      </c>
      <c r="C149" s="3">
        <v>60</v>
      </c>
      <c r="D149" s="2" t="s">
        <v>331</v>
      </c>
      <c r="E149" s="2" t="s">
        <v>88</v>
      </c>
      <c r="F149" s="2" t="s">
        <v>89</v>
      </c>
      <c r="G149" s="2">
        <v>15</v>
      </c>
      <c r="H149" s="2" t="str">
        <f>Configuracion!$B$2</f>
        <v>ON</v>
      </c>
      <c r="I149" s="4">
        <f>Configuracion!$B$3</f>
        <v>0.15</v>
      </c>
      <c r="J149" s="2" t="str">
        <f>IF(UPPER(Configuracion!$B$2)="ON",Configuracion!$B$4,"")</f>
        <v>follow+like+comenta=15%</v>
      </c>
      <c r="K149" s="3">
        <f>IF(UPPER(Configuracion!$B$2)="ON",ROUND(C149*(1-Configuracion!$B$3),0),ROUND(C149,0))</f>
        <v>51</v>
      </c>
    </row>
    <row r="150" spans="1:11" x14ac:dyDescent="0.35">
      <c r="A150" s="2">
        <v>149</v>
      </c>
      <c r="B150" s="2" t="s">
        <v>332</v>
      </c>
      <c r="C150" s="3">
        <v>45</v>
      </c>
      <c r="D150" s="2" t="s">
        <v>333</v>
      </c>
      <c r="E150" s="2" t="s">
        <v>88</v>
      </c>
      <c r="F150" s="2" t="s">
        <v>89</v>
      </c>
      <c r="G150" s="2">
        <v>10</v>
      </c>
      <c r="H150" s="2" t="str">
        <f>Configuracion!$B$2</f>
        <v>ON</v>
      </c>
      <c r="I150" s="4">
        <f>Configuracion!$B$3</f>
        <v>0.15</v>
      </c>
      <c r="J150" s="2" t="str">
        <f>IF(UPPER(Configuracion!$B$2)="ON",Configuracion!$B$4,"")</f>
        <v>follow+like+comenta=15%</v>
      </c>
      <c r="K150" s="3">
        <f>IF(UPPER(Configuracion!$B$2)="ON",ROUND(C150*(1-Configuracion!$B$3),0),ROUND(C150,0))</f>
        <v>38</v>
      </c>
    </row>
    <row r="151" spans="1:11" x14ac:dyDescent="0.35">
      <c r="A151" s="2">
        <v>150</v>
      </c>
      <c r="B151" s="2" t="s">
        <v>334</v>
      </c>
      <c r="C151" s="3">
        <v>40</v>
      </c>
      <c r="D151" s="2" t="s">
        <v>335</v>
      </c>
      <c r="E151" s="2" t="s">
        <v>88</v>
      </c>
      <c r="F151" s="2" t="s">
        <v>89</v>
      </c>
      <c r="G151" s="2">
        <v>15</v>
      </c>
      <c r="H151" s="2" t="str">
        <f>Configuracion!$B$2</f>
        <v>ON</v>
      </c>
      <c r="I151" s="4">
        <f>Configuracion!$B$3</f>
        <v>0.15</v>
      </c>
      <c r="J151" s="2" t="str">
        <f>IF(UPPER(Configuracion!$B$2)="ON",Configuracion!$B$4,"")</f>
        <v>follow+like+comenta=15%</v>
      </c>
      <c r="K151" s="3">
        <f>IF(UPPER(Configuracion!$B$2)="ON",ROUND(C151*(1-Configuracion!$B$3),0),ROUND(C151,0))</f>
        <v>34</v>
      </c>
    </row>
    <row r="152" spans="1:11" x14ac:dyDescent="0.35">
      <c r="A152" s="2">
        <v>151</v>
      </c>
      <c r="B152" s="2" t="s">
        <v>336</v>
      </c>
      <c r="C152" s="3">
        <v>60</v>
      </c>
      <c r="D152" s="2" t="s">
        <v>337</v>
      </c>
      <c r="E152" s="2" t="s">
        <v>88</v>
      </c>
      <c r="F152" s="2" t="s">
        <v>89</v>
      </c>
      <c r="G152" s="2">
        <v>5</v>
      </c>
      <c r="H152" s="2" t="str">
        <f>Configuracion!$B$2</f>
        <v>ON</v>
      </c>
      <c r="I152" s="4">
        <f>Configuracion!$B$3</f>
        <v>0.15</v>
      </c>
      <c r="J152" s="2" t="str">
        <f>IF(UPPER(Configuracion!$B$2)="ON",Configuracion!$B$4,"")</f>
        <v>follow+like+comenta=15%</v>
      </c>
      <c r="K152" s="3">
        <f>IF(UPPER(Configuracion!$B$2)="ON",ROUND(C152*(1-Configuracion!$B$3),0),ROUND(C152,0))</f>
        <v>51</v>
      </c>
    </row>
    <row r="153" spans="1:11" x14ac:dyDescent="0.35">
      <c r="A153" s="2">
        <v>152</v>
      </c>
      <c r="B153" s="2" t="s">
        <v>338</v>
      </c>
      <c r="C153" s="3">
        <v>45</v>
      </c>
      <c r="D153" s="2" t="s">
        <v>339</v>
      </c>
      <c r="E153" s="2" t="s">
        <v>88</v>
      </c>
      <c r="F153" s="2" t="s">
        <v>89</v>
      </c>
      <c r="G153" s="2">
        <v>5</v>
      </c>
      <c r="H153" s="2" t="str">
        <f>Configuracion!$B$2</f>
        <v>ON</v>
      </c>
      <c r="I153" s="4">
        <f>Configuracion!$B$3</f>
        <v>0.15</v>
      </c>
      <c r="J153" s="2" t="str">
        <f>IF(UPPER(Configuracion!$B$2)="ON",Configuracion!$B$4,"")</f>
        <v>follow+like+comenta=15%</v>
      </c>
      <c r="K153" s="3">
        <f>IF(UPPER(Configuracion!$B$2)="ON",ROUND(C153*(1-Configuracion!$B$3),0),ROUND(C153,0))</f>
        <v>38</v>
      </c>
    </row>
    <row r="154" spans="1:11" x14ac:dyDescent="0.35">
      <c r="A154" s="2">
        <v>153</v>
      </c>
      <c r="B154" s="2" t="s">
        <v>340</v>
      </c>
      <c r="C154" s="3">
        <v>50</v>
      </c>
      <c r="D154" s="2" t="s">
        <v>341</v>
      </c>
      <c r="E154" s="2" t="s">
        <v>88</v>
      </c>
      <c r="F154" s="2" t="s">
        <v>89</v>
      </c>
      <c r="G154" s="2">
        <v>10</v>
      </c>
      <c r="H154" s="2" t="str">
        <f>Configuracion!$B$2</f>
        <v>ON</v>
      </c>
      <c r="I154" s="4">
        <f>Configuracion!$B$3</f>
        <v>0.15</v>
      </c>
      <c r="J154" s="2" t="str">
        <f>IF(UPPER(Configuracion!$B$2)="ON",Configuracion!$B$4,"")</f>
        <v>follow+like+comenta=15%</v>
      </c>
      <c r="K154" s="3">
        <f>IF(UPPER(Configuracion!$B$2)="ON",ROUND(C154*(1-Configuracion!$B$3),0),ROUND(C154,0))</f>
        <v>43</v>
      </c>
    </row>
    <row r="155" spans="1:11" x14ac:dyDescent="0.35">
      <c r="A155" s="2">
        <v>154</v>
      </c>
      <c r="B155" s="2" t="s">
        <v>342</v>
      </c>
      <c r="C155" s="3">
        <v>50</v>
      </c>
      <c r="D155" s="2" t="s">
        <v>343</v>
      </c>
      <c r="E155" s="2" t="s">
        <v>88</v>
      </c>
      <c r="F155" s="2" t="s">
        <v>89</v>
      </c>
      <c r="G155" s="2">
        <v>15</v>
      </c>
      <c r="H155" s="2" t="str">
        <f>Configuracion!$B$2</f>
        <v>ON</v>
      </c>
      <c r="I155" s="4">
        <f>Configuracion!$B$3</f>
        <v>0.15</v>
      </c>
      <c r="J155" s="2" t="str">
        <f>IF(UPPER(Configuracion!$B$2)="ON",Configuracion!$B$4,"")</f>
        <v>follow+like+comenta=15%</v>
      </c>
      <c r="K155" s="3">
        <f>IF(UPPER(Configuracion!$B$2)="ON",ROUND(C155*(1-Configuracion!$B$3),0),ROUND(C155,0))</f>
        <v>43</v>
      </c>
    </row>
    <row r="156" spans="1:11" x14ac:dyDescent="0.35">
      <c r="A156" s="2">
        <v>155</v>
      </c>
      <c r="B156" s="2" t="s">
        <v>344</v>
      </c>
      <c r="C156" s="3">
        <v>50</v>
      </c>
      <c r="D156" s="2" t="s">
        <v>345</v>
      </c>
      <c r="E156" s="2" t="s">
        <v>346</v>
      </c>
      <c r="F156" s="2" t="s">
        <v>89</v>
      </c>
      <c r="G156" s="2">
        <v>10</v>
      </c>
      <c r="H156" s="2" t="str">
        <f>Configuracion!$B$2</f>
        <v>ON</v>
      </c>
      <c r="I156" s="4">
        <f>Configuracion!$B$3</f>
        <v>0.15</v>
      </c>
      <c r="J156" s="2" t="str">
        <f>IF(UPPER(Configuracion!$B$2)="ON",Configuracion!$B$4,"")</f>
        <v>follow+like+comenta=15%</v>
      </c>
      <c r="K156" s="3">
        <f>IF(UPPER(Configuracion!$B$2)="ON",ROUND(C156*(1-Configuracion!$B$3),0),ROUND(C156,0))</f>
        <v>43</v>
      </c>
    </row>
    <row r="157" spans="1:11" x14ac:dyDescent="0.35">
      <c r="A157" s="2">
        <v>156</v>
      </c>
      <c r="B157" s="2" t="s">
        <v>347</v>
      </c>
      <c r="C157" s="3">
        <v>15</v>
      </c>
      <c r="D157" s="2" t="s">
        <v>348</v>
      </c>
      <c r="E157" s="2" t="s">
        <v>346</v>
      </c>
      <c r="F157" s="2" t="s">
        <v>89</v>
      </c>
      <c r="G157" s="2">
        <v>10</v>
      </c>
      <c r="H157" s="2" t="str">
        <f>Configuracion!$B$2</f>
        <v>ON</v>
      </c>
      <c r="I157" s="4">
        <f>Configuracion!$B$3</f>
        <v>0.15</v>
      </c>
      <c r="J157" s="2" t="str">
        <f>IF(UPPER(Configuracion!$B$2)="ON",Configuracion!$B$4,"")</f>
        <v>follow+like+comenta=15%</v>
      </c>
      <c r="K157" s="3">
        <f>IF(UPPER(Configuracion!$B$2)="ON",ROUND(C157*(1-Configuracion!$B$3),0),ROUND(C157,0))</f>
        <v>13</v>
      </c>
    </row>
    <row r="158" spans="1:11" x14ac:dyDescent="0.35">
      <c r="A158" s="2">
        <v>157</v>
      </c>
      <c r="B158" s="2" t="s">
        <v>349</v>
      </c>
      <c r="C158" s="3">
        <v>35</v>
      </c>
      <c r="D158" s="2" t="s">
        <v>350</v>
      </c>
      <c r="E158" s="2" t="s">
        <v>346</v>
      </c>
      <c r="F158" s="2" t="s">
        <v>89</v>
      </c>
      <c r="G158" s="2">
        <v>10</v>
      </c>
      <c r="H158" s="2" t="str">
        <f>Configuracion!$B$2</f>
        <v>ON</v>
      </c>
      <c r="I158" s="4">
        <f>Configuracion!$B$3</f>
        <v>0.15</v>
      </c>
      <c r="J158" s="2" t="str">
        <f>IF(UPPER(Configuracion!$B$2)="ON",Configuracion!$B$4,"")</f>
        <v>follow+like+comenta=15%</v>
      </c>
      <c r="K158" s="3">
        <f>IF(UPPER(Configuracion!$B$2)="ON",ROUND(C158*(1-Configuracion!$B$3),0),ROUND(C158,0))</f>
        <v>30</v>
      </c>
    </row>
    <row r="159" spans="1:11" x14ac:dyDescent="0.35">
      <c r="A159" s="2">
        <v>158</v>
      </c>
      <c r="B159" s="2" t="s">
        <v>351</v>
      </c>
      <c r="C159" s="3">
        <v>30</v>
      </c>
      <c r="D159" s="2" t="s">
        <v>352</v>
      </c>
      <c r="E159" s="2" t="s">
        <v>346</v>
      </c>
      <c r="F159" s="2" t="s">
        <v>89</v>
      </c>
      <c r="G159" s="2">
        <v>10</v>
      </c>
      <c r="H159" s="2" t="str">
        <f>Configuracion!$B$2</f>
        <v>ON</v>
      </c>
      <c r="I159" s="4">
        <f>Configuracion!$B$3</f>
        <v>0.15</v>
      </c>
      <c r="J159" s="2" t="str">
        <f>IF(UPPER(Configuracion!$B$2)="ON",Configuracion!$B$4,"")</f>
        <v>follow+like+comenta=15%</v>
      </c>
      <c r="K159" s="3">
        <f>IF(UPPER(Configuracion!$B$2)="ON",ROUND(C159*(1-Configuracion!$B$3),0),ROUND(C159,0))</f>
        <v>26</v>
      </c>
    </row>
    <row r="160" spans="1:11" x14ac:dyDescent="0.35">
      <c r="A160" s="2">
        <v>159</v>
      </c>
      <c r="B160" s="2" t="s">
        <v>353</v>
      </c>
      <c r="C160" s="3">
        <v>50</v>
      </c>
      <c r="D160" s="2" t="s">
        <v>354</v>
      </c>
      <c r="E160" s="2" t="s">
        <v>346</v>
      </c>
      <c r="F160" s="2" t="s">
        <v>89</v>
      </c>
      <c r="G160" s="2">
        <v>10</v>
      </c>
      <c r="H160" s="2" t="str">
        <f>Configuracion!$B$2</f>
        <v>ON</v>
      </c>
      <c r="I160" s="4">
        <f>Configuracion!$B$3</f>
        <v>0.15</v>
      </c>
      <c r="J160" s="2" t="str">
        <f>IF(UPPER(Configuracion!$B$2)="ON",Configuracion!$B$4,"")</f>
        <v>follow+like+comenta=15%</v>
      </c>
      <c r="K160" s="3">
        <f>IF(UPPER(Configuracion!$B$2)="ON",ROUND(C160*(1-Configuracion!$B$3),0),ROUND(C160,0))</f>
        <v>43</v>
      </c>
    </row>
    <row r="161" spans="1:11" x14ac:dyDescent="0.35">
      <c r="A161" s="2">
        <v>160</v>
      </c>
      <c r="B161" s="2" t="s">
        <v>355</v>
      </c>
      <c r="C161" s="3">
        <v>50</v>
      </c>
      <c r="D161" s="2" t="s">
        <v>356</v>
      </c>
      <c r="E161" s="2" t="s">
        <v>346</v>
      </c>
      <c r="F161" s="2" t="s">
        <v>89</v>
      </c>
      <c r="G161" s="2">
        <v>10</v>
      </c>
      <c r="H161" s="2" t="str">
        <f>Configuracion!$B$2</f>
        <v>ON</v>
      </c>
      <c r="I161" s="4">
        <f>Configuracion!$B$3</f>
        <v>0.15</v>
      </c>
      <c r="J161" s="2" t="str">
        <f>IF(UPPER(Configuracion!$B$2)="ON",Configuracion!$B$4,"")</f>
        <v>follow+like+comenta=15%</v>
      </c>
      <c r="K161" s="3">
        <f>IF(UPPER(Configuracion!$B$2)="ON",ROUND(C161*(1-Configuracion!$B$3),0),ROUND(C161,0))</f>
        <v>43</v>
      </c>
    </row>
    <row r="162" spans="1:11" x14ac:dyDescent="0.35">
      <c r="A162" s="2">
        <v>161</v>
      </c>
      <c r="B162" s="2" t="s">
        <v>357</v>
      </c>
      <c r="C162" s="3">
        <v>35</v>
      </c>
      <c r="D162" s="2" t="s">
        <v>358</v>
      </c>
      <c r="E162" s="2" t="s">
        <v>346</v>
      </c>
      <c r="F162" s="2" t="s">
        <v>89</v>
      </c>
      <c r="G162" s="2">
        <v>10</v>
      </c>
      <c r="H162" s="2" t="str">
        <f>Configuracion!$B$2</f>
        <v>ON</v>
      </c>
      <c r="I162" s="4">
        <f>Configuracion!$B$3</f>
        <v>0.15</v>
      </c>
      <c r="J162" s="2" t="str">
        <f>IF(UPPER(Configuracion!$B$2)="ON",Configuracion!$B$4,"")</f>
        <v>follow+like+comenta=15%</v>
      </c>
      <c r="K162" s="3">
        <f>IF(UPPER(Configuracion!$B$2)="ON",ROUND(C162*(1-Configuracion!$B$3),0),ROUND(C162,0))</f>
        <v>30</v>
      </c>
    </row>
    <row r="163" spans="1:11" x14ac:dyDescent="0.35">
      <c r="A163" s="2">
        <v>162</v>
      </c>
      <c r="B163" s="2" t="s">
        <v>359</v>
      </c>
      <c r="C163" s="3">
        <v>50</v>
      </c>
      <c r="D163" s="2" t="s">
        <v>360</v>
      </c>
      <c r="E163" s="2" t="s">
        <v>346</v>
      </c>
      <c r="F163" s="2" t="s">
        <v>89</v>
      </c>
      <c r="G163" s="2">
        <v>10</v>
      </c>
      <c r="H163" s="2" t="str">
        <f>Configuracion!$B$2</f>
        <v>ON</v>
      </c>
      <c r="I163" s="4">
        <f>Configuracion!$B$3</f>
        <v>0.15</v>
      </c>
      <c r="J163" s="2" t="str">
        <f>IF(UPPER(Configuracion!$B$2)="ON",Configuracion!$B$4,"")</f>
        <v>follow+like+comenta=15%</v>
      </c>
      <c r="K163" s="3">
        <f>IF(UPPER(Configuracion!$B$2)="ON",ROUND(C163*(1-Configuracion!$B$3),0),ROUND(C163,0))</f>
        <v>43</v>
      </c>
    </row>
    <row r="164" spans="1:11" x14ac:dyDescent="0.35">
      <c r="A164" s="2">
        <v>163</v>
      </c>
      <c r="B164" s="2" t="s">
        <v>361</v>
      </c>
      <c r="C164" s="3">
        <v>55</v>
      </c>
      <c r="D164" s="2" t="s">
        <v>362</v>
      </c>
      <c r="E164" s="2" t="s">
        <v>346</v>
      </c>
      <c r="F164" s="2" t="s">
        <v>89</v>
      </c>
      <c r="G164" s="2">
        <v>10</v>
      </c>
      <c r="H164" s="2" t="str">
        <f>Configuracion!$B$2</f>
        <v>ON</v>
      </c>
      <c r="I164" s="4">
        <f>Configuracion!$B$3</f>
        <v>0.15</v>
      </c>
      <c r="J164" s="2" t="str">
        <f>IF(UPPER(Configuracion!$B$2)="ON",Configuracion!$B$4,"")</f>
        <v>follow+like+comenta=15%</v>
      </c>
      <c r="K164" s="3">
        <f>IF(UPPER(Configuracion!$B$2)="ON",ROUND(C164*(1-Configuracion!$B$3),0),ROUND(C164,0))</f>
        <v>47</v>
      </c>
    </row>
    <row r="165" spans="1:11" x14ac:dyDescent="0.35">
      <c r="A165" s="2">
        <v>164</v>
      </c>
      <c r="B165" s="2" t="s">
        <v>363</v>
      </c>
      <c r="C165" s="3">
        <v>50</v>
      </c>
      <c r="D165" s="2" t="s">
        <v>364</v>
      </c>
      <c r="E165" s="2" t="s">
        <v>346</v>
      </c>
      <c r="F165" s="2" t="s">
        <v>89</v>
      </c>
      <c r="G165" s="2">
        <v>10</v>
      </c>
      <c r="H165" s="2" t="str">
        <f>Configuracion!$B$2</f>
        <v>ON</v>
      </c>
      <c r="I165" s="4">
        <f>Configuracion!$B$3</f>
        <v>0.15</v>
      </c>
      <c r="J165" s="2" t="str">
        <f>IF(UPPER(Configuracion!$B$2)="ON",Configuracion!$B$4,"")</f>
        <v>follow+like+comenta=15%</v>
      </c>
      <c r="K165" s="3">
        <f>IF(UPPER(Configuracion!$B$2)="ON",ROUND(C165*(1-Configuracion!$B$3),0),ROUND(C165,0))</f>
        <v>43</v>
      </c>
    </row>
    <row r="166" spans="1:11" x14ac:dyDescent="0.35">
      <c r="A166" s="2">
        <v>165</v>
      </c>
      <c r="B166" s="2" t="s">
        <v>365</v>
      </c>
      <c r="C166" s="3">
        <v>30</v>
      </c>
      <c r="D166" s="2" t="s">
        <v>366</v>
      </c>
      <c r="E166" s="2" t="s">
        <v>367</v>
      </c>
      <c r="F166" s="2" t="s">
        <v>89</v>
      </c>
      <c r="G166" s="2">
        <v>5</v>
      </c>
      <c r="H166" s="2" t="str">
        <f>Configuracion!$B$2</f>
        <v>ON</v>
      </c>
      <c r="I166" s="4">
        <f>Configuracion!$B$3</f>
        <v>0.15</v>
      </c>
      <c r="J166" s="2" t="str">
        <f>IF(UPPER(Configuracion!$B$2)="ON",Configuracion!$B$4,"")</f>
        <v>follow+like+comenta=15%</v>
      </c>
      <c r="K166" s="3">
        <f>IF(UPPER(Configuracion!$B$2)="ON",ROUND(C166*(1-Configuracion!$B$3),0),ROUND(C166,0))</f>
        <v>26</v>
      </c>
    </row>
    <row r="167" spans="1:11" x14ac:dyDescent="0.35">
      <c r="A167" s="2">
        <v>166</v>
      </c>
      <c r="B167" s="2" t="s">
        <v>368</v>
      </c>
      <c r="C167" s="3">
        <v>40</v>
      </c>
      <c r="D167" s="2" t="s">
        <v>369</v>
      </c>
      <c r="E167" s="2" t="s">
        <v>367</v>
      </c>
      <c r="F167" s="2" t="s">
        <v>89</v>
      </c>
      <c r="G167" s="2">
        <v>10</v>
      </c>
      <c r="H167" s="2" t="str">
        <f>Configuracion!$B$2</f>
        <v>ON</v>
      </c>
      <c r="I167" s="4">
        <f>Configuracion!$B$3</f>
        <v>0.15</v>
      </c>
      <c r="J167" s="2" t="str">
        <f>IF(UPPER(Configuracion!$B$2)="ON",Configuracion!$B$4,"")</f>
        <v>follow+like+comenta=15%</v>
      </c>
      <c r="K167" s="3">
        <f>IF(UPPER(Configuracion!$B$2)="ON",ROUND(C167*(1-Configuracion!$B$3),0),ROUND(C167,0))</f>
        <v>34</v>
      </c>
    </row>
    <row r="168" spans="1:11" x14ac:dyDescent="0.35">
      <c r="A168" s="2">
        <v>167</v>
      </c>
      <c r="B168" s="2" t="s">
        <v>370</v>
      </c>
      <c r="C168" s="3">
        <v>40</v>
      </c>
      <c r="D168" s="2" t="s">
        <v>371</v>
      </c>
      <c r="E168" s="2" t="s">
        <v>367</v>
      </c>
      <c r="F168" s="2" t="s">
        <v>89</v>
      </c>
      <c r="G168" s="2">
        <v>10</v>
      </c>
      <c r="H168" s="2" t="str">
        <f>Configuracion!$B$2</f>
        <v>ON</v>
      </c>
      <c r="I168" s="4">
        <f>Configuracion!$B$3</f>
        <v>0.15</v>
      </c>
      <c r="J168" s="2" t="str">
        <f>IF(UPPER(Configuracion!$B$2)="ON",Configuracion!$B$4,"")</f>
        <v>follow+like+comenta=15%</v>
      </c>
      <c r="K168" s="3">
        <f>IF(UPPER(Configuracion!$B$2)="ON",ROUND(C168*(1-Configuracion!$B$3),0),ROUND(C168,0))</f>
        <v>34</v>
      </c>
    </row>
    <row r="169" spans="1:11" x14ac:dyDescent="0.35">
      <c r="A169" s="2">
        <v>168</v>
      </c>
      <c r="B169" s="2" t="s">
        <v>372</v>
      </c>
      <c r="C169" s="3">
        <v>90</v>
      </c>
      <c r="D169" s="2" t="s">
        <v>373</v>
      </c>
      <c r="E169" s="2" t="s">
        <v>367</v>
      </c>
      <c r="F169" s="2" t="s">
        <v>89</v>
      </c>
      <c r="G169" s="2">
        <v>10</v>
      </c>
      <c r="H169" s="2" t="str">
        <f>Configuracion!$B$2</f>
        <v>ON</v>
      </c>
      <c r="I169" s="4">
        <f>Configuracion!$B$3</f>
        <v>0.15</v>
      </c>
      <c r="J169" s="2" t="str">
        <f>IF(UPPER(Configuracion!$B$2)="ON",Configuracion!$B$4,"")</f>
        <v>follow+like+comenta=15%</v>
      </c>
      <c r="K169" s="3">
        <f>IF(UPPER(Configuracion!$B$2)="ON",ROUND(C169*(1-Configuracion!$B$3),0),ROUND(C169,0))</f>
        <v>77</v>
      </c>
    </row>
    <row r="170" spans="1:11" x14ac:dyDescent="0.35">
      <c r="A170" s="2">
        <v>169</v>
      </c>
      <c r="B170" s="2" t="s">
        <v>374</v>
      </c>
      <c r="C170" s="3">
        <v>45</v>
      </c>
      <c r="D170" s="2" t="s">
        <v>375</v>
      </c>
      <c r="E170" s="2" t="s">
        <v>367</v>
      </c>
      <c r="F170" s="2" t="s">
        <v>89</v>
      </c>
      <c r="G170" s="2">
        <v>10</v>
      </c>
      <c r="H170" s="2" t="str">
        <f>Configuracion!$B$2</f>
        <v>ON</v>
      </c>
      <c r="I170" s="4">
        <f>Configuracion!$B$3</f>
        <v>0.15</v>
      </c>
      <c r="J170" s="2" t="str">
        <f>IF(UPPER(Configuracion!$B$2)="ON",Configuracion!$B$4,"")</f>
        <v>follow+like+comenta=15%</v>
      </c>
      <c r="K170" s="3">
        <f>IF(UPPER(Configuracion!$B$2)="ON",ROUND(C170*(1-Configuracion!$B$3),0),ROUND(C170,0))</f>
        <v>38</v>
      </c>
    </row>
    <row r="171" spans="1:11" x14ac:dyDescent="0.35">
      <c r="A171" s="2">
        <v>170</v>
      </c>
      <c r="B171" s="2" t="s">
        <v>376</v>
      </c>
      <c r="C171" s="3">
        <v>65</v>
      </c>
      <c r="D171" s="2" t="s">
        <v>377</v>
      </c>
      <c r="E171" s="2" t="s">
        <v>367</v>
      </c>
      <c r="F171" s="2" t="s">
        <v>89</v>
      </c>
      <c r="G171" s="2">
        <v>10</v>
      </c>
      <c r="H171" s="2" t="str">
        <f>Configuracion!$B$2</f>
        <v>ON</v>
      </c>
      <c r="I171" s="4">
        <f>Configuracion!$B$3</f>
        <v>0.15</v>
      </c>
      <c r="J171" s="2" t="str">
        <f>IF(UPPER(Configuracion!$B$2)="ON",Configuracion!$B$4,"")</f>
        <v>follow+like+comenta=15%</v>
      </c>
      <c r="K171" s="3">
        <f>IF(UPPER(Configuracion!$B$2)="ON",ROUND(C171*(1-Configuracion!$B$3),0),ROUND(C171,0))</f>
        <v>55</v>
      </c>
    </row>
    <row r="172" spans="1:11" x14ac:dyDescent="0.35">
      <c r="A172" s="2">
        <v>171</v>
      </c>
      <c r="B172" s="2" t="s">
        <v>378</v>
      </c>
      <c r="C172" s="3">
        <v>60</v>
      </c>
      <c r="D172" s="2" t="s">
        <v>379</v>
      </c>
      <c r="E172" s="2" t="s">
        <v>367</v>
      </c>
      <c r="F172" s="2" t="s">
        <v>89</v>
      </c>
      <c r="G172" s="2">
        <v>10</v>
      </c>
      <c r="H172" s="2" t="str">
        <f>Configuracion!$B$2</f>
        <v>ON</v>
      </c>
      <c r="I172" s="4">
        <f>Configuracion!$B$3</f>
        <v>0.15</v>
      </c>
      <c r="J172" s="2" t="str">
        <f>IF(UPPER(Configuracion!$B$2)="ON",Configuracion!$B$4,"")</f>
        <v>follow+like+comenta=15%</v>
      </c>
      <c r="K172" s="3">
        <f>IF(UPPER(Configuracion!$B$2)="ON",ROUND(C172*(1-Configuracion!$B$3),0),ROUND(C172,0))</f>
        <v>51</v>
      </c>
    </row>
    <row r="173" spans="1:11" x14ac:dyDescent="0.35">
      <c r="A173" s="2">
        <v>172</v>
      </c>
      <c r="B173" s="2" t="s">
        <v>380</v>
      </c>
      <c r="C173" s="3">
        <v>50</v>
      </c>
      <c r="D173" s="2" t="s">
        <v>381</v>
      </c>
      <c r="E173" s="2" t="s">
        <v>367</v>
      </c>
      <c r="F173" s="2" t="s">
        <v>89</v>
      </c>
      <c r="G173" s="2">
        <v>10</v>
      </c>
      <c r="H173" s="2" t="str">
        <f>Configuracion!$B$2</f>
        <v>ON</v>
      </c>
      <c r="I173" s="4">
        <f>Configuracion!$B$3</f>
        <v>0.15</v>
      </c>
      <c r="J173" s="2" t="str">
        <f>IF(UPPER(Configuracion!$B$2)="ON",Configuracion!$B$4,"")</f>
        <v>follow+like+comenta=15%</v>
      </c>
      <c r="K173" s="3">
        <f>IF(UPPER(Configuracion!$B$2)="ON",ROUND(C173*(1-Configuracion!$B$3),0),ROUND(C173,0))</f>
        <v>43</v>
      </c>
    </row>
    <row r="174" spans="1:11" x14ac:dyDescent="0.35">
      <c r="A174" s="2">
        <v>173</v>
      </c>
      <c r="B174" s="2" t="s">
        <v>382</v>
      </c>
      <c r="C174" s="3">
        <v>45</v>
      </c>
      <c r="D174" s="2" t="s">
        <v>383</v>
      </c>
      <c r="E174" s="2" t="s">
        <v>384</v>
      </c>
      <c r="F174" s="2" t="s">
        <v>89</v>
      </c>
      <c r="G174" s="2">
        <v>5</v>
      </c>
      <c r="H174" s="2" t="str">
        <f>Configuracion!$B$2</f>
        <v>ON</v>
      </c>
      <c r="I174" s="4">
        <f>Configuracion!$B$3</f>
        <v>0.15</v>
      </c>
      <c r="J174" s="2" t="str">
        <f>IF(UPPER(Configuracion!$B$2)="ON",Configuracion!$B$4,"")</f>
        <v>follow+like+comenta=15%</v>
      </c>
      <c r="K174" s="3">
        <f>IF(UPPER(Configuracion!$B$2)="ON",ROUND(C174*(1-Configuracion!$B$3),0),ROUND(C174,0))</f>
        <v>38</v>
      </c>
    </row>
    <row r="175" spans="1:11" x14ac:dyDescent="0.35">
      <c r="A175" s="2">
        <v>174</v>
      </c>
      <c r="B175" s="2" t="s">
        <v>385</v>
      </c>
      <c r="C175" s="3">
        <v>40</v>
      </c>
      <c r="D175" s="2" t="s">
        <v>386</v>
      </c>
      <c r="E175" s="2" t="s">
        <v>384</v>
      </c>
      <c r="F175" s="2" t="s">
        <v>89</v>
      </c>
      <c r="G175" s="2">
        <v>5</v>
      </c>
      <c r="H175" s="2" t="str">
        <f>Configuracion!$B$2</f>
        <v>ON</v>
      </c>
      <c r="I175" s="4">
        <f>Configuracion!$B$3</f>
        <v>0.15</v>
      </c>
      <c r="J175" s="2" t="str">
        <f>IF(UPPER(Configuracion!$B$2)="ON",Configuracion!$B$4,"")</f>
        <v>follow+like+comenta=15%</v>
      </c>
      <c r="K175" s="3">
        <f>IF(UPPER(Configuracion!$B$2)="ON",ROUND(C175*(1-Configuracion!$B$3),0),ROUND(C175,0))</f>
        <v>34</v>
      </c>
    </row>
    <row r="176" spans="1:11" x14ac:dyDescent="0.35">
      <c r="A176" s="2">
        <v>175</v>
      </c>
      <c r="B176" s="2" t="s">
        <v>387</v>
      </c>
      <c r="C176" s="3">
        <v>45</v>
      </c>
      <c r="D176" s="2" t="s">
        <v>388</v>
      </c>
      <c r="E176" s="2" t="s">
        <v>384</v>
      </c>
      <c r="F176" s="2" t="s">
        <v>89</v>
      </c>
      <c r="G176" s="2">
        <v>2</v>
      </c>
      <c r="H176" s="2" t="str">
        <f>Configuracion!$B$2</f>
        <v>ON</v>
      </c>
      <c r="I176" s="4">
        <f>Configuracion!$B$3</f>
        <v>0.15</v>
      </c>
      <c r="J176" s="2" t="str">
        <f>IF(UPPER(Configuracion!$B$2)="ON",Configuracion!$B$4,"")</f>
        <v>follow+like+comenta=15%</v>
      </c>
      <c r="K176" s="3">
        <f>IF(UPPER(Configuracion!$B$2)="ON",ROUND(C176*(1-Configuracion!$B$3),0),ROUND(C176,0))</f>
        <v>38</v>
      </c>
    </row>
    <row r="177" spans="1:11" x14ac:dyDescent="0.35">
      <c r="A177" s="2">
        <v>176</v>
      </c>
      <c r="B177" s="2" t="s">
        <v>389</v>
      </c>
      <c r="C177" s="3">
        <v>45</v>
      </c>
      <c r="D177" s="2" t="s">
        <v>390</v>
      </c>
      <c r="E177" s="2" t="s">
        <v>384</v>
      </c>
      <c r="F177" s="2" t="s">
        <v>89</v>
      </c>
      <c r="G177" s="2">
        <v>5</v>
      </c>
      <c r="H177" s="2" t="str">
        <f>Configuracion!$B$2</f>
        <v>ON</v>
      </c>
      <c r="I177" s="4">
        <f>Configuracion!$B$3</f>
        <v>0.15</v>
      </c>
      <c r="J177" s="2" t="str">
        <f>IF(UPPER(Configuracion!$B$2)="ON",Configuracion!$B$4,"")</f>
        <v>follow+like+comenta=15%</v>
      </c>
      <c r="K177" s="3">
        <f>IF(UPPER(Configuracion!$B$2)="ON",ROUND(C177*(1-Configuracion!$B$3),0),ROUND(C177,0))</f>
        <v>38</v>
      </c>
    </row>
    <row r="178" spans="1:11" x14ac:dyDescent="0.35">
      <c r="A178" s="2">
        <v>177</v>
      </c>
      <c r="B178" s="2" t="s">
        <v>391</v>
      </c>
      <c r="C178" s="3">
        <v>40</v>
      </c>
      <c r="D178" s="2" t="s">
        <v>392</v>
      </c>
      <c r="E178" s="2" t="s">
        <v>384</v>
      </c>
      <c r="F178" s="2" t="s">
        <v>89</v>
      </c>
      <c r="G178" s="2">
        <v>3</v>
      </c>
      <c r="H178" s="2" t="str">
        <f>Configuracion!$B$2</f>
        <v>ON</v>
      </c>
      <c r="I178" s="4">
        <f>Configuracion!$B$3</f>
        <v>0.15</v>
      </c>
      <c r="J178" s="2" t="str">
        <f>IF(UPPER(Configuracion!$B$2)="ON",Configuracion!$B$4,"")</f>
        <v>follow+like+comenta=15%</v>
      </c>
      <c r="K178" s="3">
        <f>IF(UPPER(Configuracion!$B$2)="ON",ROUND(C178*(1-Configuracion!$B$3),0),ROUND(C178,0))</f>
        <v>34</v>
      </c>
    </row>
    <row r="179" spans="1:11" x14ac:dyDescent="0.35">
      <c r="A179" s="2">
        <v>178</v>
      </c>
      <c r="B179" s="2" t="s">
        <v>393</v>
      </c>
      <c r="C179" s="3">
        <v>95</v>
      </c>
      <c r="D179" s="2" t="s">
        <v>394</v>
      </c>
      <c r="E179" s="2" t="s">
        <v>395</v>
      </c>
      <c r="F179" s="2" t="s">
        <v>127</v>
      </c>
      <c r="G179" s="2">
        <v>5</v>
      </c>
      <c r="H179" s="2" t="str">
        <f>Configuracion!$B$2</f>
        <v>ON</v>
      </c>
      <c r="I179" s="4">
        <f>Configuracion!$B$3</f>
        <v>0.15</v>
      </c>
      <c r="J179" s="2" t="str">
        <f>IF(UPPER(Configuracion!$B$2)="ON",Configuracion!$B$4,"")</f>
        <v>follow+like+comenta=15%</v>
      </c>
      <c r="K179" s="3">
        <f>IF(UPPER(Configuracion!$B$2)="ON",ROUND(C179*(1-Configuracion!$B$3),0),ROUND(C179,0))</f>
        <v>81</v>
      </c>
    </row>
    <row r="180" spans="1:11" x14ac:dyDescent="0.35">
      <c r="A180" s="2">
        <v>179</v>
      </c>
      <c r="B180" s="2" t="s">
        <v>396</v>
      </c>
      <c r="C180" s="3">
        <v>85</v>
      </c>
      <c r="D180" s="2" t="s">
        <v>397</v>
      </c>
      <c r="E180" s="2" t="s">
        <v>395</v>
      </c>
      <c r="F180" s="2" t="s">
        <v>127</v>
      </c>
      <c r="G180" s="2">
        <v>5</v>
      </c>
      <c r="H180" s="2" t="str">
        <f>Configuracion!$B$2</f>
        <v>ON</v>
      </c>
      <c r="I180" s="4">
        <f>Configuracion!$B$3</f>
        <v>0.15</v>
      </c>
      <c r="J180" s="2" t="str">
        <f>IF(UPPER(Configuracion!$B$2)="ON",Configuracion!$B$4,"")</f>
        <v>follow+like+comenta=15%</v>
      </c>
      <c r="K180" s="3">
        <f>IF(UPPER(Configuracion!$B$2)="ON",ROUND(C180*(1-Configuracion!$B$3),0),ROUND(C180,0))</f>
        <v>72</v>
      </c>
    </row>
    <row r="181" spans="1:11" x14ac:dyDescent="0.35">
      <c r="A181" s="2">
        <v>180</v>
      </c>
      <c r="B181" s="2" t="s">
        <v>398</v>
      </c>
      <c r="C181" s="3">
        <v>145</v>
      </c>
      <c r="D181" s="2" t="s">
        <v>399</v>
      </c>
      <c r="E181" s="2" t="s">
        <v>395</v>
      </c>
      <c r="F181" s="2" t="s">
        <v>127</v>
      </c>
      <c r="G181" s="2">
        <v>5</v>
      </c>
      <c r="H181" s="2" t="str">
        <f>Configuracion!$B$2</f>
        <v>ON</v>
      </c>
      <c r="I181" s="4">
        <f>Configuracion!$B$3</f>
        <v>0.15</v>
      </c>
      <c r="J181" s="2" t="str">
        <f>IF(UPPER(Configuracion!$B$2)="ON",Configuracion!$B$4,"")</f>
        <v>follow+like+comenta=15%</v>
      </c>
      <c r="K181" s="3">
        <f>IF(UPPER(Configuracion!$B$2)="ON",ROUND(C181*(1-Configuracion!$B$3),0),ROUND(C181,0))</f>
        <v>123</v>
      </c>
    </row>
    <row r="182" spans="1:11" x14ac:dyDescent="0.35">
      <c r="A182" s="2">
        <v>181</v>
      </c>
      <c r="B182" s="2" t="s">
        <v>400</v>
      </c>
      <c r="C182" s="3">
        <v>95</v>
      </c>
      <c r="D182" s="2" t="s">
        <v>401</v>
      </c>
      <c r="E182" s="2" t="s">
        <v>395</v>
      </c>
      <c r="F182" s="2" t="s">
        <v>127</v>
      </c>
      <c r="G182" s="2">
        <v>5</v>
      </c>
      <c r="H182" s="2" t="str">
        <f>Configuracion!$B$2</f>
        <v>ON</v>
      </c>
      <c r="I182" s="4">
        <f>Configuracion!$B$3</f>
        <v>0.15</v>
      </c>
      <c r="J182" s="2" t="str">
        <f>IF(UPPER(Configuracion!$B$2)="ON",Configuracion!$B$4,"")</f>
        <v>follow+like+comenta=15%</v>
      </c>
      <c r="K182" s="3">
        <f>IF(UPPER(Configuracion!$B$2)="ON",ROUND(C182*(1-Configuracion!$B$3),0),ROUND(C182,0))</f>
        <v>81</v>
      </c>
    </row>
    <row r="183" spans="1:11" x14ac:dyDescent="0.35">
      <c r="A183" s="2">
        <v>182</v>
      </c>
      <c r="B183" s="2" t="s">
        <v>402</v>
      </c>
      <c r="C183" s="3">
        <v>95</v>
      </c>
      <c r="D183" s="2" t="s">
        <v>403</v>
      </c>
      <c r="E183" s="2" t="s">
        <v>395</v>
      </c>
      <c r="F183" s="2" t="s">
        <v>127</v>
      </c>
      <c r="G183" s="2">
        <v>5</v>
      </c>
      <c r="H183" s="2" t="str">
        <f>Configuracion!$B$2</f>
        <v>ON</v>
      </c>
      <c r="I183" s="4">
        <f>Configuracion!$B$3</f>
        <v>0.15</v>
      </c>
      <c r="J183" s="2" t="str">
        <f>IF(UPPER(Configuracion!$B$2)="ON",Configuracion!$B$4,"")</f>
        <v>follow+like+comenta=15%</v>
      </c>
      <c r="K183" s="3">
        <f>IF(UPPER(Configuracion!$B$2)="ON",ROUND(C183*(1-Configuracion!$B$3),0),ROUND(C183,0))</f>
        <v>81</v>
      </c>
    </row>
    <row r="184" spans="1:11" x14ac:dyDescent="0.35">
      <c r="A184" s="2">
        <v>183</v>
      </c>
      <c r="B184" s="2" t="s">
        <v>404</v>
      </c>
      <c r="C184" s="3">
        <v>115</v>
      </c>
      <c r="D184" s="2" t="s">
        <v>405</v>
      </c>
      <c r="E184" s="2" t="s">
        <v>395</v>
      </c>
      <c r="F184" s="2" t="s">
        <v>127</v>
      </c>
      <c r="G184" s="2">
        <v>5</v>
      </c>
      <c r="H184" s="2" t="str">
        <f>Configuracion!$B$2</f>
        <v>ON</v>
      </c>
      <c r="I184" s="4">
        <f>Configuracion!$B$3</f>
        <v>0.15</v>
      </c>
      <c r="J184" s="2" t="str">
        <f>IF(UPPER(Configuracion!$B$2)="ON",Configuracion!$B$4,"")</f>
        <v>follow+like+comenta=15%</v>
      </c>
      <c r="K184" s="3">
        <f>IF(UPPER(Configuracion!$B$2)="ON",ROUND(C184*(1-Configuracion!$B$3),0),ROUND(C184,0))</f>
        <v>98</v>
      </c>
    </row>
    <row r="185" spans="1:11" x14ac:dyDescent="0.35">
      <c r="A185" s="2">
        <v>184</v>
      </c>
      <c r="B185" s="2" t="s">
        <v>406</v>
      </c>
      <c r="C185" s="3">
        <v>80</v>
      </c>
      <c r="D185" s="2" t="s">
        <v>407</v>
      </c>
      <c r="E185" s="2" t="s">
        <v>395</v>
      </c>
      <c r="F185" s="2" t="s">
        <v>127</v>
      </c>
      <c r="G185" s="2">
        <v>5</v>
      </c>
      <c r="H185" s="2" t="str">
        <f>Configuracion!$B$2</f>
        <v>ON</v>
      </c>
      <c r="I185" s="4">
        <f>Configuracion!$B$3</f>
        <v>0.15</v>
      </c>
      <c r="J185" s="2" t="str">
        <f>IF(UPPER(Configuracion!$B$2)="ON",Configuracion!$B$4,"")</f>
        <v>follow+like+comenta=15%</v>
      </c>
      <c r="K185" s="3">
        <f>IF(UPPER(Configuracion!$B$2)="ON",ROUND(C185*(1-Configuracion!$B$3),0),ROUND(C185,0))</f>
        <v>68</v>
      </c>
    </row>
    <row r="186" spans="1:11" x14ac:dyDescent="0.35">
      <c r="A186" s="2">
        <v>185</v>
      </c>
      <c r="B186" s="2" t="s">
        <v>408</v>
      </c>
      <c r="C186" s="3">
        <v>105</v>
      </c>
      <c r="D186" s="2" t="s">
        <v>409</v>
      </c>
      <c r="E186" s="2" t="s">
        <v>395</v>
      </c>
      <c r="F186" s="2" t="s">
        <v>127</v>
      </c>
      <c r="G186" s="2">
        <v>5</v>
      </c>
      <c r="H186" s="2" t="str">
        <f>Configuracion!$B$2</f>
        <v>ON</v>
      </c>
      <c r="I186" s="4">
        <f>Configuracion!$B$3</f>
        <v>0.15</v>
      </c>
      <c r="J186" s="2" t="str">
        <f>IF(UPPER(Configuracion!$B$2)="ON",Configuracion!$B$4,"")</f>
        <v>follow+like+comenta=15%</v>
      </c>
      <c r="K186" s="3">
        <f>IF(UPPER(Configuracion!$B$2)="ON",ROUND(C186*(1-Configuracion!$B$3),0),ROUND(C186,0))</f>
        <v>89</v>
      </c>
    </row>
    <row r="187" spans="1:11" x14ac:dyDescent="0.35">
      <c r="A187" s="2">
        <v>186</v>
      </c>
      <c r="B187" s="2" t="s">
        <v>410</v>
      </c>
      <c r="C187" s="3">
        <v>105</v>
      </c>
      <c r="D187" s="2" t="s">
        <v>411</v>
      </c>
      <c r="E187" s="2" t="s">
        <v>395</v>
      </c>
      <c r="F187" s="2" t="s">
        <v>127</v>
      </c>
      <c r="G187" s="2">
        <v>5</v>
      </c>
      <c r="H187" s="2" t="str">
        <f>Configuracion!$B$2</f>
        <v>ON</v>
      </c>
      <c r="I187" s="4">
        <f>Configuracion!$B$3</f>
        <v>0.15</v>
      </c>
      <c r="J187" s="2" t="str">
        <f>IF(UPPER(Configuracion!$B$2)="ON",Configuracion!$B$4,"")</f>
        <v>follow+like+comenta=15%</v>
      </c>
      <c r="K187" s="3">
        <f>IF(UPPER(Configuracion!$B$2)="ON",ROUND(C187*(1-Configuracion!$B$3),0),ROUND(C187,0))</f>
        <v>89</v>
      </c>
    </row>
    <row r="188" spans="1:11" x14ac:dyDescent="0.35">
      <c r="A188" s="2">
        <v>187</v>
      </c>
      <c r="B188" s="2" t="s">
        <v>412</v>
      </c>
      <c r="C188" s="3">
        <v>90</v>
      </c>
      <c r="D188" s="2" t="s">
        <v>413</v>
      </c>
      <c r="E188" s="2" t="s">
        <v>414</v>
      </c>
      <c r="F188" s="2" t="s">
        <v>89</v>
      </c>
      <c r="G188" s="2">
        <v>10</v>
      </c>
      <c r="H188" s="2" t="str">
        <f>Configuracion!$B$2</f>
        <v>ON</v>
      </c>
      <c r="I188" s="4">
        <f>Configuracion!$B$3</f>
        <v>0.15</v>
      </c>
      <c r="J188" s="2" t="str">
        <f>IF(UPPER(Configuracion!$B$2)="ON",Configuracion!$B$4,"")</f>
        <v>follow+like+comenta=15%</v>
      </c>
      <c r="K188" s="3">
        <f>IF(UPPER(Configuracion!$B$2)="ON",ROUND(C188*(1-Configuracion!$B$3),0),ROUND(C188,0))</f>
        <v>77</v>
      </c>
    </row>
    <row r="189" spans="1:11" x14ac:dyDescent="0.35">
      <c r="A189" s="2">
        <v>188</v>
      </c>
      <c r="B189" s="2" t="s">
        <v>415</v>
      </c>
      <c r="C189" s="3">
        <v>105</v>
      </c>
      <c r="D189" s="2" t="s">
        <v>416</v>
      </c>
      <c r="E189" s="2" t="s">
        <v>414</v>
      </c>
      <c r="F189" s="2" t="s">
        <v>89</v>
      </c>
      <c r="G189" s="2">
        <v>10</v>
      </c>
      <c r="H189" s="2" t="str">
        <f>Configuracion!$B$2</f>
        <v>ON</v>
      </c>
      <c r="I189" s="4">
        <f>Configuracion!$B$3</f>
        <v>0.15</v>
      </c>
      <c r="J189" s="2" t="str">
        <f>IF(UPPER(Configuracion!$B$2)="ON",Configuracion!$B$4,"")</f>
        <v>follow+like+comenta=15%</v>
      </c>
      <c r="K189" s="3">
        <f>IF(UPPER(Configuracion!$B$2)="ON",ROUND(C189*(1-Configuracion!$B$3),0),ROUND(C189,0))</f>
        <v>89</v>
      </c>
    </row>
    <row r="190" spans="1:11" x14ac:dyDescent="0.35">
      <c r="A190" s="2">
        <v>189</v>
      </c>
      <c r="B190" s="2" t="s">
        <v>417</v>
      </c>
      <c r="C190" s="3">
        <v>95</v>
      </c>
      <c r="D190" s="2" t="s">
        <v>418</v>
      </c>
      <c r="E190" s="2" t="s">
        <v>414</v>
      </c>
      <c r="F190" s="2" t="s">
        <v>89</v>
      </c>
      <c r="G190" s="2">
        <v>10</v>
      </c>
      <c r="H190" s="2" t="str">
        <f>Configuracion!$B$2</f>
        <v>ON</v>
      </c>
      <c r="I190" s="4">
        <f>Configuracion!$B$3</f>
        <v>0.15</v>
      </c>
      <c r="J190" s="2" t="str">
        <f>IF(UPPER(Configuracion!$B$2)="ON",Configuracion!$B$4,"")</f>
        <v>follow+like+comenta=15%</v>
      </c>
      <c r="K190" s="3">
        <f>IF(UPPER(Configuracion!$B$2)="ON",ROUND(C190*(1-Configuracion!$B$3),0),ROUND(C190,0))</f>
        <v>81</v>
      </c>
    </row>
    <row r="191" spans="1:11" x14ac:dyDescent="0.35">
      <c r="A191" s="2">
        <v>190</v>
      </c>
      <c r="B191" s="2" t="s">
        <v>419</v>
      </c>
      <c r="C191" s="3">
        <v>85</v>
      </c>
      <c r="D191" s="2" t="s">
        <v>420</v>
      </c>
      <c r="E191" s="2" t="s">
        <v>421</v>
      </c>
      <c r="F191" s="2" t="s">
        <v>14</v>
      </c>
      <c r="G191" s="2">
        <v>10</v>
      </c>
      <c r="H191" s="2" t="str">
        <f>Configuracion!$B$2</f>
        <v>ON</v>
      </c>
      <c r="I191" s="4">
        <f>Configuracion!$B$3</f>
        <v>0.15</v>
      </c>
      <c r="J191" s="2" t="str">
        <f>IF(UPPER(Configuracion!$B$2)="ON",Configuracion!$B$4,"")</f>
        <v>follow+like+comenta=15%</v>
      </c>
      <c r="K191" s="3">
        <f>IF(UPPER(Configuracion!$B$2)="ON",ROUND(C191*(1-Configuracion!$B$3),0),ROUND(C191,0))</f>
        <v>72</v>
      </c>
    </row>
    <row r="192" spans="1:11" x14ac:dyDescent="0.35">
      <c r="A192" s="2">
        <v>191</v>
      </c>
      <c r="B192" s="2" t="s">
        <v>422</v>
      </c>
      <c r="C192" s="3">
        <v>80</v>
      </c>
      <c r="D192" s="2" t="s">
        <v>423</v>
      </c>
      <c r="E192" s="2" t="s">
        <v>421</v>
      </c>
      <c r="F192" s="2" t="s">
        <v>14</v>
      </c>
      <c r="G192" s="2">
        <v>10</v>
      </c>
      <c r="H192" s="2" t="str">
        <f>Configuracion!$B$2</f>
        <v>ON</v>
      </c>
      <c r="I192" s="4">
        <f>Configuracion!$B$3</f>
        <v>0.15</v>
      </c>
      <c r="J192" s="2" t="str">
        <f>IF(UPPER(Configuracion!$B$2)="ON",Configuracion!$B$4,"")</f>
        <v>follow+like+comenta=15%</v>
      </c>
      <c r="K192" s="3">
        <f>IF(UPPER(Configuracion!$B$2)="ON",ROUND(C192*(1-Configuracion!$B$3),0),ROUND(C192,0))</f>
        <v>68</v>
      </c>
    </row>
    <row r="193" spans="1:11" x14ac:dyDescent="0.35">
      <c r="A193" s="2">
        <v>192</v>
      </c>
      <c r="B193" s="2" t="s">
        <v>424</v>
      </c>
      <c r="C193" s="3">
        <v>80</v>
      </c>
      <c r="D193" s="2" t="s">
        <v>425</v>
      </c>
      <c r="E193" s="2" t="s">
        <v>421</v>
      </c>
      <c r="F193" s="2" t="s">
        <v>14</v>
      </c>
      <c r="G193" s="2">
        <v>10</v>
      </c>
      <c r="H193" s="2" t="str">
        <f>Configuracion!$B$2</f>
        <v>ON</v>
      </c>
      <c r="I193" s="4">
        <f>Configuracion!$B$3</f>
        <v>0.15</v>
      </c>
      <c r="J193" s="2" t="str">
        <f>IF(UPPER(Configuracion!$B$2)="ON",Configuracion!$B$4,"")</f>
        <v>follow+like+comenta=15%</v>
      </c>
      <c r="K193" s="3">
        <f>IF(UPPER(Configuracion!$B$2)="ON",ROUND(C193*(1-Configuracion!$B$3),0),ROUND(C193,0))</f>
        <v>68</v>
      </c>
    </row>
    <row r="194" spans="1:11" x14ac:dyDescent="0.35">
      <c r="A194" s="2">
        <v>193</v>
      </c>
      <c r="B194" s="2" t="s">
        <v>426</v>
      </c>
      <c r="C194" s="3">
        <v>80</v>
      </c>
      <c r="D194" s="2" t="s">
        <v>427</v>
      </c>
      <c r="E194" s="2" t="s">
        <v>421</v>
      </c>
      <c r="F194" s="2" t="s">
        <v>14</v>
      </c>
      <c r="G194" s="2">
        <v>10</v>
      </c>
      <c r="H194" s="2" t="str">
        <f>Configuracion!$B$2</f>
        <v>ON</v>
      </c>
      <c r="I194" s="4">
        <f>Configuracion!$B$3</f>
        <v>0.15</v>
      </c>
      <c r="J194" s="2" t="str">
        <f>IF(UPPER(Configuracion!$B$2)="ON",Configuracion!$B$4,"")</f>
        <v>follow+like+comenta=15%</v>
      </c>
      <c r="K194" s="3">
        <f>IF(UPPER(Configuracion!$B$2)="ON",ROUND(C194*(1-Configuracion!$B$3),0),ROUND(C194,0))</f>
        <v>68</v>
      </c>
    </row>
    <row r="195" spans="1:11" x14ac:dyDescent="0.35">
      <c r="A195" s="2">
        <v>194</v>
      </c>
      <c r="B195" s="2" t="s">
        <v>428</v>
      </c>
      <c r="C195" s="3">
        <v>80</v>
      </c>
      <c r="D195" s="2" t="s">
        <v>429</v>
      </c>
      <c r="E195" s="2" t="s">
        <v>421</v>
      </c>
      <c r="F195" s="2" t="s">
        <v>14</v>
      </c>
      <c r="G195" s="2">
        <v>10</v>
      </c>
      <c r="H195" s="2" t="str">
        <f>Configuracion!$B$2</f>
        <v>ON</v>
      </c>
      <c r="I195" s="4">
        <f>Configuracion!$B$3</f>
        <v>0.15</v>
      </c>
      <c r="J195" s="2" t="str">
        <f>IF(UPPER(Configuracion!$B$2)="ON",Configuracion!$B$4,"")</f>
        <v>follow+like+comenta=15%</v>
      </c>
      <c r="K195" s="3">
        <f>IF(UPPER(Configuracion!$B$2)="ON",ROUND(C195*(1-Configuracion!$B$3),0),ROUND(C195,0))</f>
        <v>68</v>
      </c>
    </row>
    <row r="196" spans="1:11" x14ac:dyDescent="0.35">
      <c r="A196" s="2">
        <v>195</v>
      </c>
      <c r="B196" s="2" t="s">
        <v>430</v>
      </c>
      <c r="C196" s="3">
        <v>75</v>
      </c>
      <c r="D196" s="2" t="s">
        <v>431</v>
      </c>
      <c r="E196" s="2" t="s">
        <v>421</v>
      </c>
      <c r="F196" s="2" t="s">
        <v>14</v>
      </c>
      <c r="G196" s="2">
        <v>10</v>
      </c>
      <c r="H196" s="2" t="str">
        <f>Configuracion!$B$2</f>
        <v>ON</v>
      </c>
      <c r="I196" s="4">
        <f>Configuracion!$B$3</f>
        <v>0.15</v>
      </c>
      <c r="J196" s="2" t="str">
        <f>IF(UPPER(Configuracion!$B$2)="ON",Configuracion!$B$4,"")</f>
        <v>follow+like+comenta=15%</v>
      </c>
      <c r="K196" s="3">
        <f>IF(UPPER(Configuracion!$B$2)="ON",ROUND(C196*(1-Configuracion!$B$3),0),ROUND(C196,0))</f>
        <v>64</v>
      </c>
    </row>
    <row r="197" spans="1:11" x14ac:dyDescent="0.35">
      <c r="A197" s="2">
        <v>196</v>
      </c>
      <c r="B197" s="2" t="s">
        <v>432</v>
      </c>
      <c r="C197" s="3">
        <v>80</v>
      </c>
      <c r="D197" s="2" t="s">
        <v>433</v>
      </c>
      <c r="E197" s="2" t="s">
        <v>421</v>
      </c>
      <c r="F197" s="2" t="s">
        <v>14</v>
      </c>
      <c r="G197" s="2">
        <v>10</v>
      </c>
      <c r="H197" s="2" t="str">
        <f>Configuracion!$B$2</f>
        <v>ON</v>
      </c>
      <c r="I197" s="4">
        <f>Configuracion!$B$3</f>
        <v>0.15</v>
      </c>
      <c r="J197" s="2" t="str">
        <f>IF(UPPER(Configuracion!$B$2)="ON",Configuracion!$B$4,"")</f>
        <v>follow+like+comenta=15%</v>
      </c>
      <c r="K197" s="3">
        <f>IF(UPPER(Configuracion!$B$2)="ON",ROUND(C197*(1-Configuracion!$B$3),0),ROUND(C197,0))</f>
        <v>68</v>
      </c>
    </row>
    <row r="198" spans="1:11" x14ac:dyDescent="0.35">
      <c r="A198" s="2">
        <v>197</v>
      </c>
      <c r="B198" s="2" t="s">
        <v>434</v>
      </c>
      <c r="C198" s="3">
        <v>80</v>
      </c>
      <c r="D198" s="2" t="s">
        <v>435</v>
      </c>
      <c r="E198" s="2" t="s">
        <v>421</v>
      </c>
      <c r="F198" s="2" t="s">
        <v>14</v>
      </c>
      <c r="G198" s="2">
        <v>10</v>
      </c>
      <c r="H198" s="2" t="str">
        <f>Configuracion!$B$2</f>
        <v>ON</v>
      </c>
      <c r="I198" s="4">
        <f>Configuracion!$B$3</f>
        <v>0.15</v>
      </c>
      <c r="J198" s="2" t="str">
        <f>IF(UPPER(Configuracion!$B$2)="ON",Configuracion!$B$4,"")</f>
        <v>follow+like+comenta=15%</v>
      </c>
      <c r="K198" s="3">
        <f>IF(UPPER(Configuracion!$B$2)="ON",ROUND(C198*(1-Configuracion!$B$3),0),ROUND(C198,0))</f>
        <v>68</v>
      </c>
    </row>
    <row r="199" spans="1:11" x14ac:dyDescent="0.35">
      <c r="A199" s="2">
        <v>198</v>
      </c>
      <c r="B199" s="2" t="s">
        <v>436</v>
      </c>
      <c r="C199" s="3">
        <v>80</v>
      </c>
      <c r="D199" s="2" t="s">
        <v>437</v>
      </c>
      <c r="E199" s="2" t="s">
        <v>421</v>
      </c>
      <c r="F199" s="2" t="s">
        <v>14</v>
      </c>
      <c r="G199" s="2">
        <v>10</v>
      </c>
      <c r="H199" s="2" t="str">
        <f>Configuracion!$B$2</f>
        <v>ON</v>
      </c>
      <c r="I199" s="4">
        <f>Configuracion!$B$3</f>
        <v>0.15</v>
      </c>
      <c r="J199" s="2" t="str">
        <f>IF(UPPER(Configuracion!$B$2)="ON",Configuracion!$B$4,"")</f>
        <v>follow+like+comenta=15%</v>
      </c>
      <c r="K199" s="3">
        <f>IF(UPPER(Configuracion!$B$2)="ON",ROUND(C199*(1-Configuracion!$B$3),0),ROUND(C199,0))</f>
        <v>68</v>
      </c>
    </row>
    <row r="200" spans="1:11" x14ac:dyDescent="0.35">
      <c r="A200" s="2">
        <v>199</v>
      </c>
      <c r="B200" s="2" t="s">
        <v>438</v>
      </c>
      <c r="C200" s="3">
        <v>110</v>
      </c>
      <c r="D200" s="2" t="s">
        <v>439</v>
      </c>
      <c r="E200" s="2" t="s">
        <v>440</v>
      </c>
      <c r="F200" s="2" t="s">
        <v>14</v>
      </c>
      <c r="G200" s="2">
        <v>10</v>
      </c>
      <c r="H200" s="2" t="str">
        <f>Configuracion!$B$2</f>
        <v>ON</v>
      </c>
      <c r="I200" s="4">
        <f>Configuracion!$B$3</f>
        <v>0.15</v>
      </c>
      <c r="J200" s="2" t="str">
        <f>IF(UPPER(Configuracion!$B$2)="ON",Configuracion!$B$4,"")</f>
        <v>follow+like+comenta=15%</v>
      </c>
      <c r="K200" s="3">
        <f>IF(UPPER(Configuracion!$B$2)="ON",ROUND(C200*(1-Configuracion!$B$3),0),ROUND(C200,0))</f>
        <v>94</v>
      </c>
    </row>
    <row r="201" spans="1:11" x14ac:dyDescent="0.35">
      <c r="A201" s="2">
        <v>200</v>
      </c>
      <c r="B201" s="2" t="s">
        <v>441</v>
      </c>
      <c r="C201" s="3">
        <v>70</v>
      </c>
      <c r="D201" s="2" t="s">
        <v>442</v>
      </c>
      <c r="E201" s="2" t="s">
        <v>440</v>
      </c>
      <c r="F201" s="2" t="s">
        <v>14</v>
      </c>
      <c r="G201" s="2">
        <v>5</v>
      </c>
      <c r="H201" s="2" t="str">
        <f>Configuracion!$B$2</f>
        <v>ON</v>
      </c>
      <c r="I201" s="4">
        <f>Configuracion!$B$3</f>
        <v>0.15</v>
      </c>
      <c r="J201" s="2" t="str">
        <f>IF(UPPER(Configuracion!$B$2)="ON",Configuracion!$B$4,"")</f>
        <v>follow+like+comenta=15%</v>
      </c>
      <c r="K201" s="3">
        <f>IF(UPPER(Configuracion!$B$2)="ON",ROUND(C201*(1-Configuracion!$B$3),0),ROUND(C201,0))</f>
        <v>60</v>
      </c>
    </row>
    <row r="202" spans="1:11" x14ac:dyDescent="0.35">
      <c r="A202" s="2">
        <v>201</v>
      </c>
      <c r="B202" s="2" t="s">
        <v>443</v>
      </c>
      <c r="C202" s="3">
        <v>65</v>
      </c>
      <c r="D202" s="2" t="s">
        <v>444</v>
      </c>
      <c r="E202" s="2" t="s">
        <v>440</v>
      </c>
      <c r="F202" s="2" t="s">
        <v>14</v>
      </c>
      <c r="G202" s="2">
        <v>10</v>
      </c>
      <c r="H202" s="2" t="str">
        <f>Configuracion!$B$2</f>
        <v>ON</v>
      </c>
      <c r="I202" s="4">
        <f>Configuracion!$B$3</f>
        <v>0.15</v>
      </c>
      <c r="J202" s="2" t="str">
        <f>IF(UPPER(Configuracion!$B$2)="ON",Configuracion!$B$4,"")</f>
        <v>follow+like+comenta=15%</v>
      </c>
      <c r="K202" s="3">
        <f>IF(UPPER(Configuracion!$B$2)="ON",ROUND(C202*(1-Configuracion!$B$3),0),ROUND(C202,0))</f>
        <v>55</v>
      </c>
    </row>
    <row r="203" spans="1:11" x14ac:dyDescent="0.35">
      <c r="A203" s="2">
        <v>202</v>
      </c>
      <c r="B203" s="2" t="s">
        <v>445</v>
      </c>
      <c r="C203" s="3">
        <v>40</v>
      </c>
      <c r="D203" s="2" t="s">
        <v>446</v>
      </c>
      <c r="E203" s="2" t="s">
        <v>447</v>
      </c>
      <c r="F203" s="2" t="s">
        <v>89</v>
      </c>
      <c r="G203" s="2">
        <v>5</v>
      </c>
      <c r="H203" s="2" t="str">
        <f>Configuracion!$B$2</f>
        <v>ON</v>
      </c>
      <c r="I203" s="4">
        <f>Configuracion!$B$3</f>
        <v>0.15</v>
      </c>
      <c r="J203" s="2" t="str">
        <f>IF(UPPER(Configuracion!$B$2)="ON",Configuracion!$B$4,"")</f>
        <v>follow+like+comenta=15%</v>
      </c>
      <c r="K203" s="3">
        <f>IF(UPPER(Configuracion!$B$2)="ON",ROUND(C203*(1-Configuracion!$B$3),0),ROUND(C203,0))</f>
        <v>34</v>
      </c>
    </row>
    <row r="204" spans="1:11" x14ac:dyDescent="0.35">
      <c r="A204" s="2">
        <v>203</v>
      </c>
      <c r="B204" s="2" t="s">
        <v>448</v>
      </c>
      <c r="C204" s="3">
        <v>40</v>
      </c>
      <c r="D204" s="2" t="s">
        <v>449</v>
      </c>
      <c r="E204" s="2" t="s">
        <v>447</v>
      </c>
      <c r="F204" s="2" t="s">
        <v>89</v>
      </c>
      <c r="G204" s="2">
        <v>5</v>
      </c>
      <c r="H204" s="2" t="str">
        <f>Configuracion!$B$2</f>
        <v>ON</v>
      </c>
      <c r="I204" s="4">
        <f>Configuracion!$B$3</f>
        <v>0.15</v>
      </c>
      <c r="J204" s="2" t="str">
        <f>IF(UPPER(Configuracion!$B$2)="ON",Configuracion!$B$4,"")</f>
        <v>follow+like+comenta=15%</v>
      </c>
      <c r="K204" s="3">
        <f>IF(UPPER(Configuracion!$B$2)="ON",ROUND(C204*(1-Configuracion!$B$3),0),ROUND(C204,0))</f>
        <v>34</v>
      </c>
    </row>
    <row r="205" spans="1:11" x14ac:dyDescent="0.35">
      <c r="A205" s="2">
        <v>204</v>
      </c>
      <c r="B205" s="2" t="s">
        <v>450</v>
      </c>
      <c r="C205" s="3">
        <v>50</v>
      </c>
      <c r="D205" s="2" t="s">
        <v>451</v>
      </c>
      <c r="E205" s="2" t="s">
        <v>452</v>
      </c>
      <c r="F205" s="2" t="s">
        <v>89</v>
      </c>
      <c r="G205" s="2">
        <v>2</v>
      </c>
      <c r="H205" s="2" t="str">
        <f>Configuracion!$B$2</f>
        <v>ON</v>
      </c>
      <c r="I205" s="4">
        <f>Configuracion!$B$3</f>
        <v>0.15</v>
      </c>
      <c r="J205" s="2" t="str">
        <f>IF(UPPER(Configuracion!$B$2)="ON",Configuracion!$B$4,"")</f>
        <v>follow+like+comenta=15%</v>
      </c>
      <c r="K205" s="3">
        <f>IF(UPPER(Configuracion!$B$2)="ON",ROUND(C205*(1-Configuracion!$B$3),0),ROUND(C205,0))</f>
        <v>43</v>
      </c>
    </row>
    <row r="206" spans="1:11" x14ac:dyDescent="0.35">
      <c r="A206" s="2">
        <v>205</v>
      </c>
      <c r="B206" s="2" t="s">
        <v>453</v>
      </c>
      <c r="C206" s="3">
        <v>55</v>
      </c>
      <c r="D206" s="2" t="s">
        <v>454</v>
      </c>
      <c r="E206" s="2" t="s">
        <v>452</v>
      </c>
      <c r="F206" s="2" t="s">
        <v>89</v>
      </c>
      <c r="G206" s="2">
        <v>2</v>
      </c>
      <c r="H206" s="2" t="str">
        <f>Configuracion!$B$2</f>
        <v>ON</v>
      </c>
      <c r="I206" s="4">
        <f>Configuracion!$B$3</f>
        <v>0.15</v>
      </c>
      <c r="J206" s="2" t="str">
        <f>IF(UPPER(Configuracion!$B$2)="ON",Configuracion!$B$4,"")</f>
        <v>follow+like+comenta=15%</v>
      </c>
      <c r="K206" s="3">
        <f>IF(UPPER(Configuracion!$B$2)="ON",ROUND(C206*(1-Configuracion!$B$3),0),ROUND(C206,0))</f>
        <v>47</v>
      </c>
    </row>
    <row r="207" spans="1:11" x14ac:dyDescent="0.35">
      <c r="A207" s="2">
        <v>206</v>
      </c>
      <c r="B207" s="2" t="s">
        <v>455</v>
      </c>
      <c r="C207" s="3">
        <v>55</v>
      </c>
      <c r="D207" s="2" t="s">
        <v>456</v>
      </c>
      <c r="E207" s="2" t="s">
        <v>452</v>
      </c>
      <c r="F207" s="2" t="s">
        <v>89</v>
      </c>
      <c r="G207" s="2">
        <v>2</v>
      </c>
      <c r="H207" s="2" t="str">
        <f>Configuracion!$B$2</f>
        <v>ON</v>
      </c>
      <c r="I207" s="4">
        <f>Configuracion!$B$3</f>
        <v>0.15</v>
      </c>
      <c r="J207" s="2" t="str">
        <f>IF(UPPER(Configuracion!$B$2)="ON",Configuracion!$B$4,"")</f>
        <v>follow+like+comenta=15%</v>
      </c>
      <c r="K207" s="3">
        <f>IF(UPPER(Configuracion!$B$2)="ON",ROUND(C207*(1-Configuracion!$B$3),0),ROUND(C207,0))</f>
        <v>47</v>
      </c>
    </row>
    <row r="208" spans="1:11" ht="12.9" customHeight="1" x14ac:dyDescent="0.35">
      <c r="A208" s="2">
        <v>207</v>
      </c>
      <c r="B208" s="2" t="s">
        <v>457</v>
      </c>
      <c r="C208" s="3">
        <v>45</v>
      </c>
      <c r="D208" s="2" t="s">
        <v>458</v>
      </c>
      <c r="E208" s="2" t="s">
        <v>459</v>
      </c>
      <c r="F208" s="2" t="s">
        <v>89</v>
      </c>
      <c r="G208" s="2">
        <v>5</v>
      </c>
      <c r="H208" s="2" t="str">
        <f>Configuracion!$B$2</f>
        <v>ON</v>
      </c>
      <c r="I208" s="4">
        <f>Configuracion!$B$3</f>
        <v>0.15</v>
      </c>
      <c r="J208" s="2" t="str">
        <f>IF(UPPER(Configuracion!$B$2)="ON",Configuracion!$B$4,"")</f>
        <v>follow+like+comenta=15%</v>
      </c>
      <c r="K208" s="3">
        <f>IF(UPPER(Configuracion!$B$2)="ON",ROUND(C208*(1-Configuracion!$B$3),0),ROUND(C208,0))</f>
        <v>38</v>
      </c>
    </row>
    <row r="209" spans="1:11" ht="12.9" customHeight="1" x14ac:dyDescent="0.35">
      <c r="A209" s="2">
        <v>208</v>
      </c>
      <c r="B209" s="2" t="s">
        <v>460</v>
      </c>
      <c r="C209" s="3">
        <v>45</v>
      </c>
      <c r="D209" s="2" t="s">
        <v>461</v>
      </c>
      <c r="E209" s="2" t="s">
        <v>459</v>
      </c>
      <c r="F209" s="2" t="s">
        <v>89</v>
      </c>
      <c r="G209" s="2">
        <v>5</v>
      </c>
      <c r="H209" s="2" t="str">
        <f>Configuracion!$B$2</f>
        <v>ON</v>
      </c>
      <c r="I209" s="4">
        <f>Configuracion!$B$3</f>
        <v>0.15</v>
      </c>
      <c r="J209" s="2" t="str">
        <f>IF(UPPER(Configuracion!$B$2)="ON",Configuracion!$B$4,"")</f>
        <v>follow+like+comenta=15%</v>
      </c>
      <c r="K209" s="3">
        <f>IF(UPPER(Configuracion!$B$2)="ON",ROUND(C209*(1-Configuracion!$B$3),0),ROUND(C209,0))</f>
        <v>38</v>
      </c>
    </row>
    <row r="210" spans="1:11" ht="12.9" customHeight="1" x14ac:dyDescent="0.35">
      <c r="A210" s="2">
        <v>209</v>
      </c>
      <c r="B210" s="2" t="s">
        <v>462</v>
      </c>
      <c r="C210" s="3">
        <v>60</v>
      </c>
      <c r="D210" s="2" t="s">
        <v>463</v>
      </c>
      <c r="E210" s="2" t="s">
        <v>459</v>
      </c>
      <c r="F210" s="2" t="s">
        <v>89</v>
      </c>
      <c r="G210" s="2">
        <v>5</v>
      </c>
      <c r="H210" s="2" t="str">
        <f>Configuracion!$B$2</f>
        <v>ON</v>
      </c>
      <c r="I210" s="4">
        <f>Configuracion!$B$3</f>
        <v>0.15</v>
      </c>
      <c r="J210" s="2" t="str">
        <f>IF(UPPER(Configuracion!$B$2)="ON",Configuracion!$B$4,"")</f>
        <v>follow+like+comenta=15%</v>
      </c>
      <c r="K210" s="3">
        <f>IF(UPPER(Configuracion!$B$2)="ON",ROUND(C210*(1-Configuracion!$B$3),0),ROUND(C210,0))</f>
        <v>51</v>
      </c>
    </row>
    <row r="211" spans="1:11" ht="12.9" customHeight="1" x14ac:dyDescent="0.35">
      <c r="A211" s="2">
        <v>210</v>
      </c>
      <c r="B211" s="2" t="s">
        <v>464</v>
      </c>
      <c r="C211" s="3">
        <v>40</v>
      </c>
      <c r="D211" s="2" t="s">
        <v>465</v>
      </c>
      <c r="E211" s="2" t="s">
        <v>459</v>
      </c>
      <c r="F211" s="2" t="s">
        <v>89</v>
      </c>
      <c r="G211" s="2">
        <v>5</v>
      </c>
      <c r="H211" s="2" t="str">
        <f>Configuracion!$B$2</f>
        <v>ON</v>
      </c>
      <c r="I211" s="4">
        <f>Configuracion!$B$3</f>
        <v>0.15</v>
      </c>
      <c r="J211" s="2" t="str">
        <f>IF(UPPER(Configuracion!$B$2)="ON",Configuracion!$B$4,"")</f>
        <v>follow+like+comenta=15%</v>
      </c>
      <c r="K211" s="3">
        <f>IF(UPPER(Configuracion!$B$2)="ON",ROUND(C211*(1-Configuracion!$B$3),0),ROUND(C211,0))</f>
        <v>34</v>
      </c>
    </row>
    <row r="212" spans="1:11" ht="12.9" customHeight="1" x14ac:dyDescent="0.35">
      <c r="A212" s="2">
        <v>211</v>
      </c>
      <c r="B212" s="2" t="s">
        <v>466</v>
      </c>
      <c r="C212" s="3">
        <v>45</v>
      </c>
      <c r="D212" s="2" t="s">
        <v>467</v>
      </c>
      <c r="E212" s="2" t="s">
        <v>459</v>
      </c>
      <c r="F212" s="2" t="s">
        <v>89</v>
      </c>
      <c r="G212" s="2">
        <v>5</v>
      </c>
      <c r="H212" s="2" t="str">
        <f>Configuracion!$B$2</f>
        <v>ON</v>
      </c>
      <c r="I212" s="4">
        <f>Configuracion!$B$3</f>
        <v>0.15</v>
      </c>
      <c r="J212" s="2" t="str">
        <f>IF(UPPER(Configuracion!$B$2)="ON",Configuracion!$B$4,"")</f>
        <v>follow+like+comenta=15%</v>
      </c>
      <c r="K212" s="3">
        <f>IF(UPPER(Configuracion!$B$2)="ON",ROUND(C212*(1-Configuracion!$B$3),0),ROUND(C212,0))</f>
        <v>38</v>
      </c>
    </row>
    <row r="213" spans="1:11" ht="12.9" customHeight="1" x14ac:dyDescent="0.35">
      <c r="A213" s="2">
        <v>212</v>
      </c>
      <c r="B213" s="2" t="s">
        <v>468</v>
      </c>
      <c r="C213" s="3">
        <v>70</v>
      </c>
      <c r="D213" s="2" t="s">
        <v>469</v>
      </c>
      <c r="E213" s="2" t="s">
        <v>459</v>
      </c>
      <c r="F213" s="2" t="s">
        <v>89</v>
      </c>
      <c r="G213" s="2">
        <v>5</v>
      </c>
      <c r="H213" s="2" t="str">
        <f>Configuracion!$B$2</f>
        <v>ON</v>
      </c>
      <c r="I213" s="4">
        <f>Configuracion!$B$3</f>
        <v>0.15</v>
      </c>
      <c r="J213" s="2" t="str">
        <f>IF(UPPER(Configuracion!$B$2)="ON",Configuracion!$B$4,"")</f>
        <v>follow+like+comenta=15%</v>
      </c>
      <c r="K213" s="3">
        <f>IF(UPPER(Configuracion!$B$2)="ON",ROUND(C213*(1-Configuracion!$B$3),0),ROUND(C213,0))</f>
        <v>60</v>
      </c>
    </row>
    <row r="214" spans="1:11" x14ac:dyDescent="0.35">
      <c r="A214" s="2">
        <v>213</v>
      </c>
      <c r="B214" s="2" t="s">
        <v>470</v>
      </c>
      <c r="C214" s="3">
        <v>30</v>
      </c>
      <c r="D214" s="2" t="s">
        <v>471</v>
      </c>
      <c r="E214" s="2" t="s">
        <v>472</v>
      </c>
      <c r="F214" s="2" t="s">
        <v>89</v>
      </c>
      <c r="G214" s="2">
        <v>10</v>
      </c>
      <c r="H214" s="2" t="str">
        <f>Configuracion!$B$2</f>
        <v>ON</v>
      </c>
      <c r="I214" s="4">
        <f>Configuracion!$B$3</f>
        <v>0.15</v>
      </c>
      <c r="J214" s="2" t="str">
        <f>IF(UPPER(Configuracion!$B$2)="ON",Configuracion!$B$4,"")</f>
        <v>follow+like+comenta=15%</v>
      </c>
      <c r="K214" s="3">
        <f>IF(UPPER(Configuracion!$B$2)="ON",ROUND(C214*(1-Configuracion!$B$3),0),ROUND(C214,0))</f>
        <v>26</v>
      </c>
    </row>
    <row r="215" spans="1:11" x14ac:dyDescent="0.35">
      <c r="A215" s="2">
        <v>214</v>
      </c>
      <c r="B215" s="2" t="s">
        <v>473</v>
      </c>
      <c r="C215" s="3">
        <v>25</v>
      </c>
      <c r="D215" s="2" t="s">
        <v>474</v>
      </c>
      <c r="E215" s="2" t="s">
        <v>472</v>
      </c>
      <c r="F215" s="2" t="s">
        <v>89</v>
      </c>
      <c r="G215" s="2">
        <v>10</v>
      </c>
      <c r="H215" s="2" t="str">
        <f>Configuracion!$B$2</f>
        <v>ON</v>
      </c>
      <c r="I215" s="4">
        <f>Configuracion!$B$3</f>
        <v>0.15</v>
      </c>
      <c r="J215" s="2" t="str">
        <f>IF(UPPER(Configuracion!$B$2)="ON",Configuracion!$B$4,"")</f>
        <v>follow+like+comenta=15%</v>
      </c>
      <c r="K215" s="3">
        <f>IF(UPPER(Configuracion!$B$2)="ON",ROUND(C215*(1-Configuracion!$B$3),0),ROUND(C215,0))</f>
        <v>21</v>
      </c>
    </row>
    <row r="216" spans="1:11" x14ac:dyDescent="0.35">
      <c r="A216" s="2">
        <v>215</v>
      </c>
      <c r="B216" s="2" t="s">
        <v>475</v>
      </c>
      <c r="C216" s="3">
        <v>30</v>
      </c>
      <c r="D216" s="2" t="s">
        <v>476</v>
      </c>
      <c r="E216" s="2" t="s">
        <v>472</v>
      </c>
      <c r="F216" s="2" t="s">
        <v>89</v>
      </c>
      <c r="G216" s="2">
        <v>10</v>
      </c>
      <c r="H216" s="2" t="str">
        <f>Configuracion!$B$2</f>
        <v>ON</v>
      </c>
      <c r="I216" s="4">
        <f>Configuracion!$B$3</f>
        <v>0.15</v>
      </c>
      <c r="J216" s="2" t="str">
        <f>IF(UPPER(Configuracion!$B$2)="ON",Configuracion!$B$4,"")</f>
        <v>follow+like+comenta=15%</v>
      </c>
      <c r="K216" s="3">
        <f>IF(UPPER(Configuracion!$B$2)="ON",ROUND(C216*(1-Configuracion!$B$3),0),ROUND(C216,0))</f>
        <v>26</v>
      </c>
    </row>
    <row r="217" spans="1:11" x14ac:dyDescent="0.35">
      <c r="A217" s="2">
        <v>216</v>
      </c>
      <c r="B217" s="2" t="s">
        <v>477</v>
      </c>
      <c r="C217" s="3">
        <v>70</v>
      </c>
      <c r="D217" s="2" t="s">
        <v>478</v>
      </c>
      <c r="E217" s="2" t="s">
        <v>472</v>
      </c>
      <c r="F217" s="2" t="s">
        <v>89</v>
      </c>
      <c r="G217" s="2">
        <v>5</v>
      </c>
      <c r="H217" s="2" t="str">
        <f>Configuracion!$B$2</f>
        <v>ON</v>
      </c>
      <c r="I217" s="4">
        <f>Configuracion!$B$3</f>
        <v>0.15</v>
      </c>
      <c r="J217" s="2" t="str">
        <f>IF(UPPER(Configuracion!$B$2)="ON",Configuracion!$B$4,"")</f>
        <v>follow+like+comenta=15%</v>
      </c>
      <c r="K217" s="3">
        <f>IF(UPPER(Configuracion!$B$2)="ON",ROUND(C217*(1-Configuracion!$B$3),0),ROUND(C217,0))</f>
        <v>60</v>
      </c>
    </row>
    <row r="218" spans="1:11" x14ac:dyDescent="0.35">
      <c r="A218" s="2">
        <v>217</v>
      </c>
      <c r="B218" s="2" t="s">
        <v>479</v>
      </c>
      <c r="C218" s="3">
        <v>35</v>
      </c>
      <c r="D218" s="2" t="s">
        <v>480</v>
      </c>
      <c r="E218" s="2" t="s">
        <v>472</v>
      </c>
      <c r="F218" s="2" t="s">
        <v>89</v>
      </c>
      <c r="G218" s="2">
        <v>10</v>
      </c>
      <c r="H218" s="2" t="str">
        <f>Configuracion!$B$2</f>
        <v>ON</v>
      </c>
      <c r="I218" s="4">
        <f>Configuracion!$B$3</f>
        <v>0.15</v>
      </c>
      <c r="J218" s="2" t="str">
        <f>IF(UPPER(Configuracion!$B$2)="ON",Configuracion!$B$4,"")</f>
        <v>follow+like+comenta=15%</v>
      </c>
      <c r="K218" s="3">
        <f>IF(UPPER(Configuracion!$B$2)="ON",ROUND(C218*(1-Configuracion!$B$3),0),ROUND(C218,0))</f>
        <v>30</v>
      </c>
    </row>
    <row r="219" spans="1:11" x14ac:dyDescent="0.35">
      <c r="A219" s="2">
        <v>218</v>
      </c>
      <c r="B219" s="2" t="s">
        <v>481</v>
      </c>
      <c r="C219" s="3">
        <v>25</v>
      </c>
      <c r="D219" s="2" t="s">
        <v>482</v>
      </c>
      <c r="E219" s="2" t="s">
        <v>472</v>
      </c>
      <c r="F219" s="2" t="s">
        <v>89</v>
      </c>
      <c r="G219" s="2">
        <v>10</v>
      </c>
      <c r="H219" s="2" t="str">
        <f>Configuracion!$B$2</f>
        <v>ON</v>
      </c>
      <c r="I219" s="4">
        <f>Configuracion!$B$3</f>
        <v>0.15</v>
      </c>
      <c r="J219" s="2" t="str">
        <f>IF(UPPER(Configuracion!$B$2)="ON",Configuracion!$B$4,"")</f>
        <v>follow+like+comenta=15%</v>
      </c>
      <c r="K219" s="3">
        <f>IF(UPPER(Configuracion!$B$2)="ON",ROUND(C219*(1-Configuracion!$B$3),0),ROUND(C219,0))</f>
        <v>21</v>
      </c>
    </row>
    <row r="220" spans="1:11" x14ac:dyDescent="0.35">
      <c r="A220" s="2">
        <v>219</v>
      </c>
      <c r="B220" s="2" t="s">
        <v>483</v>
      </c>
      <c r="C220" s="3">
        <v>35</v>
      </c>
      <c r="D220" s="2" t="s">
        <v>484</v>
      </c>
      <c r="E220" s="2" t="s">
        <v>472</v>
      </c>
      <c r="F220" s="2" t="s">
        <v>89</v>
      </c>
      <c r="G220" s="2">
        <v>10</v>
      </c>
      <c r="H220" s="2" t="str">
        <f>Configuracion!$B$2</f>
        <v>ON</v>
      </c>
      <c r="I220" s="4">
        <f>Configuracion!$B$3</f>
        <v>0.15</v>
      </c>
      <c r="J220" s="2" t="str">
        <f>IF(UPPER(Configuracion!$B$2)="ON",Configuracion!$B$4,"")</f>
        <v>follow+like+comenta=15%</v>
      </c>
      <c r="K220" s="3">
        <f>IF(UPPER(Configuracion!$B$2)="ON",ROUND(C220*(1-Configuracion!$B$3),0),ROUND(C220,0))</f>
        <v>30</v>
      </c>
    </row>
    <row r="221" spans="1:11" x14ac:dyDescent="0.35">
      <c r="A221" s="2">
        <v>220</v>
      </c>
      <c r="B221" s="2" t="s">
        <v>485</v>
      </c>
      <c r="C221" s="3">
        <v>60</v>
      </c>
      <c r="D221" s="2" t="s">
        <v>486</v>
      </c>
      <c r="E221" s="2" t="s">
        <v>472</v>
      </c>
      <c r="F221" s="2" t="s">
        <v>89</v>
      </c>
      <c r="G221" s="2">
        <v>5</v>
      </c>
      <c r="H221" s="2" t="str">
        <f>Configuracion!$B$2</f>
        <v>ON</v>
      </c>
      <c r="I221" s="4">
        <f>Configuracion!$B$3</f>
        <v>0.15</v>
      </c>
      <c r="J221" s="2" t="str">
        <f>IF(UPPER(Configuracion!$B$2)="ON",Configuracion!$B$4,"")</f>
        <v>follow+like+comenta=15%</v>
      </c>
      <c r="K221" s="3">
        <f>IF(UPPER(Configuracion!$B$2)="ON",ROUND(C221*(1-Configuracion!$B$3),0),ROUND(C221,0))</f>
        <v>51</v>
      </c>
    </row>
    <row r="222" spans="1:11" x14ac:dyDescent="0.35">
      <c r="A222" s="2">
        <v>221</v>
      </c>
      <c r="B222" s="2" t="s">
        <v>487</v>
      </c>
      <c r="C222" s="3">
        <v>30</v>
      </c>
      <c r="D222" s="2" t="s">
        <v>488</v>
      </c>
      <c r="E222" s="2" t="s">
        <v>472</v>
      </c>
      <c r="F222" s="2" t="s">
        <v>89</v>
      </c>
      <c r="G222" s="2">
        <v>5</v>
      </c>
      <c r="H222" s="2" t="str">
        <f>Configuracion!$B$2</f>
        <v>ON</v>
      </c>
      <c r="I222" s="4">
        <f>Configuracion!$B$3</f>
        <v>0.15</v>
      </c>
      <c r="J222" s="2" t="str">
        <f>IF(UPPER(Configuracion!$B$2)="ON",Configuracion!$B$4,"")</f>
        <v>follow+like+comenta=15%</v>
      </c>
      <c r="K222" s="3">
        <f>IF(UPPER(Configuracion!$B$2)="ON",ROUND(C222*(1-Configuracion!$B$3),0),ROUND(C222,0))</f>
        <v>26</v>
      </c>
    </row>
    <row r="223" spans="1:11" x14ac:dyDescent="0.35">
      <c r="A223" s="2">
        <v>222</v>
      </c>
      <c r="B223" s="2" t="s">
        <v>489</v>
      </c>
      <c r="C223" s="3">
        <v>35</v>
      </c>
      <c r="D223" s="2" t="s">
        <v>490</v>
      </c>
      <c r="E223" s="2" t="s">
        <v>472</v>
      </c>
      <c r="F223" s="2" t="s">
        <v>89</v>
      </c>
      <c r="G223" s="2">
        <v>5</v>
      </c>
      <c r="H223" s="2" t="str">
        <f>Configuracion!$B$2</f>
        <v>ON</v>
      </c>
      <c r="I223" s="4">
        <f>Configuracion!$B$3</f>
        <v>0.15</v>
      </c>
      <c r="J223" s="2" t="str">
        <f>IF(UPPER(Configuracion!$B$2)="ON",Configuracion!$B$4,"")</f>
        <v>follow+like+comenta=15%</v>
      </c>
      <c r="K223" s="3">
        <f>IF(UPPER(Configuracion!$B$2)="ON",ROUND(C223*(1-Configuracion!$B$3),0),ROUND(C223,0))</f>
        <v>30</v>
      </c>
    </row>
    <row r="224" spans="1:11" x14ac:dyDescent="0.35">
      <c r="A224" s="2">
        <v>223</v>
      </c>
      <c r="B224" s="2" t="s">
        <v>491</v>
      </c>
      <c r="C224" s="3">
        <v>45</v>
      </c>
      <c r="D224" s="2" t="s">
        <v>492</v>
      </c>
      <c r="E224" s="2" t="s">
        <v>472</v>
      </c>
      <c r="F224" s="2" t="s">
        <v>89</v>
      </c>
      <c r="G224" s="2">
        <v>10</v>
      </c>
      <c r="H224" s="2" t="str">
        <f>Configuracion!$B$2</f>
        <v>ON</v>
      </c>
      <c r="I224" s="4">
        <f>Configuracion!$B$3</f>
        <v>0.15</v>
      </c>
      <c r="J224" s="2" t="str">
        <f>IF(UPPER(Configuracion!$B$2)="ON",Configuracion!$B$4,"")</f>
        <v>follow+like+comenta=15%</v>
      </c>
      <c r="K224" s="3">
        <f>IF(UPPER(Configuracion!$B$2)="ON",ROUND(C224*(1-Configuracion!$B$3),0),ROUND(C224,0))</f>
        <v>38</v>
      </c>
    </row>
    <row r="225" spans="1:11" x14ac:dyDescent="0.35">
      <c r="A225" s="2">
        <v>224</v>
      </c>
      <c r="B225" s="2" t="s">
        <v>493</v>
      </c>
      <c r="C225" s="3">
        <v>55</v>
      </c>
      <c r="D225" s="2" t="s">
        <v>494</v>
      </c>
      <c r="E225" s="2" t="s">
        <v>495</v>
      </c>
      <c r="F225" s="2" t="s">
        <v>496</v>
      </c>
      <c r="G225" s="2">
        <v>2</v>
      </c>
      <c r="H225" s="2" t="str">
        <f>Configuracion!$B$2</f>
        <v>ON</v>
      </c>
      <c r="I225" s="4">
        <f>Configuracion!$B$3</f>
        <v>0.15</v>
      </c>
      <c r="J225" s="2" t="str">
        <f>IF(UPPER(Configuracion!$B$2)="ON",Configuracion!$B$4,"")</f>
        <v>follow+like+comenta=15%</v>
      </c>
      <c r="K225" s="3">
        <f>IF(UPPER(Configuracion!$B$2)="ON",ROUND(C225*(1-Configuracion!$B$3),0),ROUND(C225,0))</f>
        <v>47</v>
      </c>
    </row>
    <row r="226" spans="1:11" x14ac:dyDescent="0.35">
      <c r="A226" s="2">
        <v>225</v>
      </c>
      <c r="B226" s="2" t="s">
        <v>497</v>
      </c>
      <c r="C226" s="3">
        <v>55</v>
      </c>
      <c r="D226" s="2" t="s">
        <v>498</v>
      </c>
      <c r="E226" s="2" t="s">
        <v>499</v>
      </c>
      <c r="F226" s="2" t="s">
        <v>496</v>
      </c>
      <c r="G226" s="2">
        <v>2</v>
      </c>
      <c r="H226" s="2" t="str">
        <f>Configuracion!$B$2</f>
        <v>ON</v>
      </c>
      <c r="I226" s="4">
        <f>Configuracion!$B$3</f>
        <v>0.15</v>
      </c>
      <c r="J226" s="2" t="str">
        <f>IF(UPPER(Configuracion!$B$2)="ON",Configuracion!$B$4,"")</f>
        <v>follow+like+comenta=15%</v>
      </c>
      <c r="K226" s="3">
        <f>IF(UPPER(Configuracion!$B$2)="ON",ROUND(C226*(1-Configuracion!$B$3),0),ROUND(C226,0))</f>
        <v>47</v>
      </c>
    </row>
    <row r="227" spans="1:11" ht="12.9" customHeight="1" x14ac:dyDescent="0.35">
      <c r="A227" s="2">
        <v>226</v>
      </c>
      <c r="B227" s="2" t="s">
        <v>500</v>
      </c>
      <c r="C227" s="3">
        <v>55</v>
      </c>
      <c r="D227" s="2" t="s">
        <v>501</v>
      </c>
      <c r="E227" s="2" t="s">
        <v>502</v>
      </c>
      <c r="F227" s="2" t="s">
        <v>496</v>
      </c>
      <c r="G227" s="2">
        <v>3</v>
      </c>
      <c r="H227" s="2" t="str">
        <f>Configuracion!$B$2</f>
        <v>ON</v>
      </c>
      <c r="I227" s="4">
        <f>Configuracion!$B$3</f>
        <v>0.15</v>
      </c>
      <c r="J227" s="2" t="str">
        <f>IF(UPPER(Configuracion!$B$2)="ON",Configuracion!$B$4,"")</f>
        <v>follow+like+comenta=15%</v>
      </c>
      <c r="K227" s="3">
        <f>IF(UPPER(Configuracion!$B$2)="ON",ROUND(C227*(1-Configuracion!$B$3),0),ROUND(C227,0))</f>
        <v>47</v>
      </c>
    </row>
    <row r="228" spans="1:11" x14ac:dyDescent="0.35">
      <c r="A228" s="2">
        <v>227</v>
      </c>
      <c r="B228" s="2" t="s">
        <v>503</v>
      </c>
      <c r="C228" s="3">
        <v>55</v>
      </c>
      <c r="D228" s="2" t="s">
        <v>504</v>
      </c>
      <c r="E228" s="2" t="s">
        <v>505</v>
      </c>
      <c r="F228" s="2" t="s">
        <v>496</v>
      </c>
      <c r="G228" s="2">
        <v>3</v>
      </c>
      <c r="H228" s="2" t="str">
        <f>Configuracion!$B$2</f>
        <v>ON</v>
      </c>
      <c r="I228" s="4">
        <f>Configuracion!$B$3</f>
        <v>0.15</v>
      </c>
      <c r="J228" s="2" t="str">
        <f>IF(UPPER(Configuracion!$B$2)="ON",Configuracion!$B$4,"")</f>
        <v>follow+like+comenta=15%</v>
      </c>
      <c r="K228" s="3">
        <f>IF(UPPER(Configuracion!$B$2)="ON",ROUND(C228*(1-Configuracion!$B$3),0),ROUND(C228,0))</f>
        <v>47</v>
      </c>
    </row>
    <row r="229" spans="1:11" ht="12.9" customHeight="1" x14ac:dyDescent="0.35">
      <c r="A229" s="2">
        <v>228</v>
      </c>
      <c r="B229" s="2" t="s">
        <v>506</v>
      </c>
      <c r="C229" s="3">
        <v>40</v>
      </c>
      <c r="D229" s="2" t="s">
        <v>507</v>
      </c>
      <c r="E229" s="2" t="s">
        <v>508</v>
      </c>
      <c r="F229" s="2" t="s">
        <v>496</v>
      </c>
      <c r="G229" s="2">
        <v>2</v>
      </c>
      <c r="H229" s="2" t="str">
        <f>Configuracion!$B$2</f>
        <v>ON</v>
      </c>
      <c r="I229" s="4">
        <f>Configuracion!$B$3</f>
        <v>0.15</v>
      </c>
      <c r="J229" s="2" t="str">
        <f>IF(UPPER(Configuracion!$B$2)="ON",Configuracion!$B$4,"")</f>
        <v>follow+like+comenta=15%</v>
      </c>
      <c r="K229" s="3">
        <f>IF(UPPER(Configuracion!$B$2)="ON",ROUND(C229*(1-Configuracion!$B$3),0),ROUND(C229,0))</f>
        <v>34</v>
      </c>
    </row>
    <row r="230" spans="1:11" ht="12.9" customHeight="1" x14ac:dyDescent="0.35">
      <c r="A230" s="2">
        <v>229</v>
      </c>
      <c r="B230" s="2" t="s">
        <v>509</v>
      </c>
      <c r="C230" s="3">
        <v>70</v>
      </c>
      <c r="D230" s="2" t="s">
        <v>510</v>
      </c>
      <c r="E230" s="2" t="s">
        <v>511</v>
      </c>
      <c r="F230" s="2" t="s">
        <v>496</v>
      </c>
      <c r="G230" s="2">
        <v>2</v>
      </c>
      <c r="H230" s="2" t="str">
        <f>Configuracion!$B$2</f>
        <v>ON</v>
      </c>
      <c r="I230" s="4">
        <f>Configuracion!$B$3</f>
        <v>0.15</v>
      </c>
      <c r="J230" s="2" t="str">
        <f>IF(UPPER(Configuracion!$B$2)="ON",Configuracion!$B$4,"")</f>
        <v>follow+like+comenta=15%</v>
      </c>
      <c r="K230" s="3">
        <f>IF(UPPER(Configuracion!$B$2)="ON",ROUND(C230*(1-Configuracion!$B$3),0),ROUND(C230,0))</f>
        <v>60</v>
      </c>
    </row>
    <row r="231" spans="1:11" ht="12.9" customHeight="1" x14ac:dyDescent="0.35">
      <c r="A231" s="2">
        <v>230</v>
      </c>
      <c r="B231" s="2" t="s">
        <v>512</v>
      </c>
      <c r="C231" s="3">
        <v>70</v>
      </c>
      <c r="D231" s="2" t="s">
        <v>513</v>
      </c>
      <c r="E231" s="2" t="s">
        <v>514</v>
      </c>
      <c r="F231" s="2" t="s">
        <v>496</v>
      </c>
      <c r="G231" s="2">
        <v>2</v>
      </c>
      <c r="H231" s="2" t="str">
        <f>Configuracion!$B$2</f>
        <v>ON</v>
      </c>
      <c r="I231" s="4">
        <f>Configuracion!$B$3</f>
        <v>0.15</v>
      </c>
      <c r="J231" s="2" t="str">
        <f>IF(UPPER(Configuracion!$B$2)="ON",Configuracion!$B$4,"")</f>
        <v>follow+like+comenta=15%</v>
      </c>
      <c r="K231" s="3">
        <f>IF(UPPER(Configuracion!$B$2)="ON",ROUND(C231*(1-Configuracion!$B$3),0),ROUND(C231,0))</f>
        <v>60</v>
      </c>
    </row>
    <row r="232" spans="1:11" ht="12.9" customHeight="1" x14ac:dyDescent="0.35">
      <c r="A232" s="2">
        <v>231</v>
      </c>
      <c r="B232" s="2" t="s">
        <v>515</v>
      </c>
      <c r="C232" s="3">
        <v>95</v>
      </c>
      <c r="D232" s="2" t="s">
        <v>516</v>
      </c>
      <c r="E232" s="2" t="s">
        <v>517</v>
      </c>
      <c r="F232" s="2" t="s">
        <v>496</v>
      </c>
      <c r="G232" s="2">
        <v>2</v>
      </c>
      <c r="H232" s="2" t="str">
        <f>Configuracion!$B$2</f>
        <v>ON</v>
      </c>
      <c r="I232" s="4">
        <f>Configuracion!$B$3</f>
        <v>0.15</v>
      </c>
      <c r="J232" s="2" t="str">
        <f>IF(UPPER(Configuracion!$B$2)="ON",Configuracion!$B$4,"")</f>
        <v>follow+like+comenta=15%</v>
      </c>
      <c r="K232" s="3">
        <f>IF(UPPER(Configuracion!$B$2)="ON",ROUND(C232*(1-Configuracion!$B$3),0),ROUND(C232,0))</f>
        <v>81</v>
      </c>
    </row>
    <row r="233" spans="1:11" ht="12.9" customHeight="1" x14ac:dyDescent="0.35">
      <c r="A233" s="2">
        <v>232</v>
      </c>
      <c r="B233" s="2" t="s">
        <v>518</v>
      </c>
      <c r="C233" s="3">
        <v>90</v>
      </c>
      <c r="D233" s="2" t="s">
        <v>519</v>
      </c>
      <c r="E233" s="2" t="s">
        <v>517</v>
      </c>
      <c r="F233" s="2" t="s">
        <v>496</v>
      </c>
      <c r="G233" s="2">
        <v>2</v>
      </c>
      <c r="H233" s="2" t="str">
        <f>Configuracion!$B$2</f>
        <v>ON</v>
      </c>
      <c r="I233" s="4">
        <f>Configuracion!$B$3</f>
        <v>0.15</v>
      </c>
      <c r="J233" s="2" t="str">
        <f>IF(UPPER(Configuracion!$B$2)="ON",Configuracion!$B$4,"")</f>
        <v>follow+like+comenta=15%</v>
      </c>
      <c r="K233" s="3">
        <f>IF(UPPER(Configuracion!$B$2)="ON",ROUND(C233*(1-Configuracion!$B$3),0),ROUND(C233,0))</f>
        <v>77</v>
      </c>
    </row>
    <row r="234" spans="1:11" ht="12.9" customHeight="1" x14ac:dyDescent="0.35">
      <c r="A234" s="2">
        <v>233</v>
      </c>
      <c r="B234" s="2" t="s">
        <v>520</v>
      </c>
      <c r="C234" s="3">
        <v>95</v>
      </c>
      <c r="D234" s="2" t="s">
        <v>521</v>
      </c>
      <c r="E234" s="2" t="s">
        <v>517</v>
      </c>
      <c r="F234" s="2" t="s">
        <v>496</v>
      </c>
      <c r="G234" s="2">
        <v>2</v>
      </c>
      <c r="H234" s="2" t="str">
        <f>Configuracion!$B$2</f>
        <v>ON</v>
      </c>
      <c r="I234" s="4">
        <f>Configuracion!$B$3</f>
        <v>0.15</v>
      </c>
      <c r="J234" s="2" t="str">
        <f>IF(UPPER(Configuracion!$B$2)="ON",Configuracion!$B$4,"")</f>
        <v>follow+like+comenta=15%</v>
      </c>
      <c r="K234" s="3">
        <f>IF(UPPER(Configuracion!$B$2)="ON",ROUND(C234*(1-Configuracion!$B$3),0),ROUND(C234,0))</f>
        <v>81</v>
      </c>
    </row>
    <row r="235" spans="1:11" ht="12.9" customHeight="1" x14ac:dyDescent="0.35">
      <c r="A235" s="2">
        <v>234</v>
      </c>
      <c r="B235" s="2" t="s">
        <v>522</v>
      </c>
      <c r="C235" s="3">
        <v>95</v>
      </c>
      <c r="D235" s="2" t="s">
        <v>523</v>
      </c>
      <c r="E235" s="2" t="s">
        <v>517</v>
      </c>
      <c r="F235" s="2" t="s">
        <v>496</v>
      </c>
      <c r="G235" s="2">
        <v>2</v>
      </c>
      <c r="H235" s="2" t="str">
        <f>Configuracion!$B$2</f>
        <v>ON</v>
      </c>
      <c r="I235" s="4">
        <f>Configuracion!$B$3</f>
        <v>0.15</v>
      </c>
      <c r="J235" s="2" t="str">
        <f>IF(UPPER(Configuracion!$B$2)="ON",Configuracion!$B$4,"")</f>
        <v>follow+like+comenta=15%</v>
      </c>
      <c r="K235" s="3">
        <f>IF(UPPER(Configuracion!$B$2)="ON",ROUND(C235*(1-Configuracion!$B$3),0),ROUND(C235,0))</f>
        <v>81</v>
      </c>
    </row>
    <row r="236" spans="1:11" ht="12.9" customHeight="1" x14ac:dyDescent="0.35">
      <c r="A236" s="2">
        <v>235</v>
      </c>
      <c r="B236" s="2" t="s">
        <v>524</v>
      </c>
      <c r="C236" s="3">
        <v>95</v>
      </c>
      <c r="D236" s="2" t="s">
        <v>525</v>
      </c>
      <c r="E236" s="2" t="s">
        <v>517</v>
      </c>
      <c r="F236" s="2" t="s">
        <v>496</v>
      </c>
      <c r="G236" s="2">
        <v>2</v>
      </c>
      <c r="H236" s="2" t="str">
        <f>Configuracion!$B$2</f>
        <v>ON</v>
      </c>
      <c r="I236" s="4">
        <f>Configuracion!$B$3</f>
        <v>0.15</v>
      </c>
      <c r="J236" s="2" t="str">
        <f>IF(UPPER(Configuracion!$B$2)="ON",Configuracion!$B$4,"")</f>
        <v>follow+like+comenta=15%</v>
      </c>
      <c r="K236" s="3">
        <f>IF(UPPER(Configuracion!$B$2)="ON",ROUND(C236*(1-Configuracion!$B$3),0),ROUND(C236,0))</f>
        <v>81</v>
      </c>
    </row>
    <row r="237" spans="1:11" ht="12.9" customHeight="1" x14ac:dyDescent="0.35">
      <c r="A237" s="2">
        <v>236</v>
      </c>
      <c r="B237" s="2" t="s">
        <v>526</v>
      </c>
      <c r="C237" s="3">
        <v>90</v>
      </c>
      <c r="D237" s="2" t="s">
        <v>527</v>
      </c>
      <c r="E237" s="2" t="s">
        <v>517</v>
      </c>
      <c r="F237" s="2" t="s">
        <v>496</v>
      </c>
      <c r="G237" s="2">
        <v>2</v>
      </c>
      <c r="H237" s="2" t="str">
        <f>Configuracion!$B$2</f>
        <v>ON</v>
      </c>
      <c r="I237" s="4">
        <f>Configuracion!$B$3</f>
        <v>0.15</v>
      </c>
      <c r="J237" s="2" t="str">
        <f>IF(UPPER(Configuracion!$B$2)="ON",Configuracion!$B$4,"")</f>
        <v>follow+like+comenta=15%</v>
      </c>
      <c r="K237" s="3">
        <f>IF(UPPER(Configuracion!$B$2)="ON",ROUND(C237*(1-Configuracion!$B$3),0),ROUND(C237,0))</f>
        <v>77</v>
      </c>
    </row>
    <row r="238" spans="1:11" ht="12.9" customHeight="1" x14ac:dyDescent="0.35">
      <c r="A238" s="2">
        <v>237</v>
      </c>
      <c r="B238" s="2" t="s">
        <v>528</v>
      </c>
      <c r="C238" s="3">
        <v>80</v>
      </c>
      <c r="D238" s="2" t="s">
        <v>529</v>
      </c>
      <c r="E238" s="2" t="s">
        <v>530</v>
      </c>
      <c r="F238" s="2" t="s">
        <v>496</v>
      </c>
      <c r="G238" s="2">
        <v>2</v>
      </c>
      <c r="H238" s="2" t="str">
        <f>Configuracion!$B$2</f>
        <v>ON</v>
      </c>
      <c r="I238" s="4">
        <f>Configuracion!$B$3</f>
        <v>0.15</v>
      </c>
      <c r="J238" s="2" t="str">
        <f>IF(UPPER(Configuracion!$B$2)="ON",Configuracion!$B$4,"")</f>
        <v>follow+like+comenta=15%</v>
      </c>
      <c r="K238" s="3">
        <f>IF(UPPER(Configuracion!$B$2)="ON",ROUND(C238*(1-Configuracion!$B$3),0),ROUND(C238,0))</f>
        <v>68</v>
      </c>
    </row>
    <row r="239" spans="1:11" ht="12.9" customHeight="1" x14ac:dyDescent="0.35">
      <c r="A239" s="2">
        <v>238</v>
      </c>
      <c r="B239" s="2" t="s">
        <v>531</v>
      </c>
      <c r="C239" s="3">
        <v>90</v>
      </c>
      <c r="D239" s="2" t="s">
        <v>532</v>
      </c>
      <c r="E239" s="2" t="s">
        <v>517</v>
      </c>
      <c r="F239" s="2" t="s">
        <v>496</v>
      </c>
      <c r="G239" s="2">
        <v>2</v>
      </c>
      <c r="H239" s="2" t="str">
        <f>Configuracion!$B$2</f>
        <v>ON</v>
      </c>
      <c r="I239" s="4">
        <f>Configuracion!$B$3</f>
        <v>0.15</v>
      </c>
      <c r="J239" s="2" t="str">
        <f>IF(UPPER(Configuracion!$B$2)="ON",Configuracion!$B$4,"")</f>
        <v>follow+like+comenta=15%</v>
      </c>
      <c r="K239" s="3">
        <f>IF(UPPER(Configuracion!$B$2)="ON",ROUND(C239*(1-Configuracion!$B$3),0),ROUND(C239,0))</f>
        <v>77</v>
      </c>
    </row>
    <row r="240" spans="1:11" ht="12.9" customHeight="1" x14ac:dyDescent="0.35">
      <c r="A240" s="2">
        <v>239</v>
      </c>
      <c r="B240" s="2" t="s">
        <v>533</v>
      </c>
      <c r="C240" s="3">
        <v>90</v>
      </c>
      <c r="D240" s="2" t="s">
        <v>534</v>
      </c>
      <c r="E240" s="2" t="s">
        <v>517</v>
      </c>
      <c r="F240" s="2" t="s">
        <v>496</v>
      </c>
      <c r="G240" s="2">
        <v>2</v>
      </c>
      <c r="H240" s="2" t="str">
        <f>Configuracion!$B$2</f>
        <v>ON</v>
      </c>
      <c r="I240" s="4">
        <f>Configuracion!$B$3</f>
        <v>0.15</v>
      </c>
      <c r="J240" s="2" t="str">
        <f>IF(UPPER(Configuracion!$B$2)="ON",Configuracion!$B$4,"")</f>
        <v>follow+like+comenta=15%</v>
      </c>
      <c r="K240" s="3">
        <f>IF(UPPER(Configuracion!$B$2)="ON",ROUND(C240*(1-Configuracion!$B$3),0),ROUND(C240,0))</f>
        <v>77</v>
      </c>
    </row>
    <row r="241" spans="1:11" ht="12.9" customHeight="1" x14ac:dyDescent="0.35">
      <c r="A241" s="2">
        <v>240</v>
      </c>
      <c r="B241" s="2" t="s">
        <v>535</v>
      </c>
      <c r="C241" s="3">
        <v>140</v>
      </c>
      <c r="D241" s="2" t="s">
        <v>536</v>
      </c>
      <c r="E241" s="2" t="s">
        <v>537</v>
      </c>
      <c r="F241" s="2" t="s">
        <v>496</v>
      </c>
      <c r="G241" s="2">
        <v>2</v>
      </c>
      <c r="H241" s="2" t="str">
        <f>Configuracion!$B$2</f>
        <v>ON</v>
      </c>
      <c r="I241" s="4">
        <f>Configuracion!$B$3</f>
        <v>0.15</v>
      </c>
      <c r="J241" s="2" t="str">
        <f>IF(UPPER(Configuracion!$B$2)="ON",Configuracion!$B$4,"")</f>
        <v>follow+like+comenta=15%</v>
      </c>
      <c r="K241" s="3">
        <f>IF(UPPER(Configuracion!$B$2)="ON",ROUND(C241*(1-Configuracion!$B$3),0),ROUND(C241,0))</f>
        <v>119</v>
      </c>
    </row>
    <row r="242" spans="1:11" ht="12.9" customHeight="1" x14ac:dyDescent="0.35">
      <c r="A242" s="2">
        <v>241</v>
      </c>
      <c r="B242" s="2" t="s">
        <v>538</v>
      </c>
      <c r="C242" s="3">
        <v>140</v>
      </c>
      <c r="D242" s="2" t="s">
        <v>539</v>
      </c>
      <c r="E242" s="2" t="s">
        <v>540</v>
      </c>
      <c r="F242" s="2" t="s">
        <v>496</v>
      </c>
      <c r="G242" s="2">
        <v>2</v>
      </c>
      <c r="H242" s="2" t="str">
        <f>Configuracion!$B$2</f>
        <v>ON</v>
      </c>
      <c r="I242" s="4">
        <f>Configuracion!$B$3</f>
        <v>0.15</v>
      </c>
      <c r="J242" s="2" t="str">
        <f>IF(UPPER(Configuracion!$B$2)="ON",Configuracion!$B$4,"")</f>
        <v>follow+like+comenta=15%</v>
      </c>
      <c r="K242" s="3">
        <f>IF(UPPER(Configuracion!$B$2)="ON",ROUND(C242*(1-Configuracion!$B$3),0),ROUND(C242,0))</f>
        <v>119</v>
      </c>
    </row>
    <row r="243" spans="1:11" ht="12.9" customHeight="1" x14ac:dyDescent="0.35">
      <c r="A243" s="2">
        <v>242</v>
      </c>
      <c r="B243" s="2" t="s">
        <v>541</v>
      </c>
      <c r="C243" s="3">
        <v>140</v>
      </c>
      <c r="D243" s="2" t="s">
        <v>542</v>
      </c>
      <c r="E243" s="2" t="s">
        <v>543</v>
      </c>
      <c r="F243" s="2" t="s">
        <v>496</v>
      </c>
      <c r="G243" s="2">
        <v>2</v>
      </c>
      <c r="H243" s="2" t="str">
        <f>Configuracion!$B$2</f>
        <v>ON</v>
      </c>
      <c r="I243" s="4">
        <f>Configuracion!$B$3</f>
        <v>0.15</v>
      </c>
      <c r="J243" s="2" t="str">
        <f>IF(UPPER(Configuracion!$B$2)="ON",Configuracion!$B$4,"")</f>
        <v>follow+like+comenta=15%</v>
      </c>
      <c r="K243" s="3">
        <f>IF(UPPER(Configuracion!$B$2)="ON",ROUND(C243*(1-Configuracion!$B$3),0),ROUND(C243,0))</f>
        <v>119</v>
      </c>
    </row>
    <row r="244" spans="1:11" ht="12.9" customHeight="1" x14ac:dyDescent="0.35">
      <c r="A244" s="2">
        <v>243</v>
      </c>
      <c r="B244" s="2" t="s">
        <v>544</v>
      </c>
      <c r="C244" s="3">
        <v>130</v>
      </c>
      <c r="D244" s="2" t="s">
        <v>545</v>
      </c>
      <c r="E244" s="2" t="s">
        <v>546</v>
      </c>
      <c r="F244" s="2" t="s">
        <v>496</v>
      </c>
      <c r="G244" s="2">
        <v>2</v>
      </c>
      <c r="H244" s="2" t="str">
        <f>Configuracion!$B$2</f>
        <v>ON</v>
      </c>
      <c r="I244" s="4">
        <f>Configuracion!$B$3</f>
        <v>0.15</v>
      </c>
      <c r="J244" s="2" t="str">
        <f>IF(UPPER(Configuracion!$B$2)="ON",Configuracion!$B$4,"")</f>
        <v>follow+like+comenta=15%</v>
      </c>
      <c r="K244" s="3">
        <f>IF(UPPER(Configuracion!$B$2)="ON",ROUND(C244*(1-Configuracion!$B$3),0),ROUND(C244,0))</f>
        <v>111</v>
      </c>
    </row>
    <row r="245" spans="1:11" x14ac:dyDescent="0.35">
      <c r="A245" s="2">
        <v>244</v>
      </c>
      <c r="B245" s="2" t="s">
        <v>547</v>
      </c>
      <c r="C245" s="3">
        <v>140</v>
      </c>
      <c r="D245" s="2" t="s">
        <v>548</v>
      </c>
      <c r="E245" s="2" t="s">
        <v>549</v>
      </c>
      <c r="F245" s="2" t="s">
        <v>496</v>
      </c>
      <c r="G245" s="2">
        <v>3</v>
      </c>
      <c r="H245" s="2" t="str">
        <f>Configuracion!$B$2</f>
        <v>ON</v>
      </c>
      <c r="I245" s="4">
        <f>Configuracion!$B$3</f>
        <v>0.15</v>
      </c>
      <c r="J245" s="2" t="str">
        <f>IF(UPPER(Configuracion!$B$2)="ON",Configuracion!$B$4,"")</f>
        <v>follow+like+comenta=15%</v>
      </c>
      <c r="K245" s="3">
        <f>IF(UPPER(Configuracion!$B$2)="ON",ROUND(C245*(1-Configuracion!$B$3),0),ROUND(C245,0))</f>
        <v>119</v>
      </c>
    </row>
    <row r="246" spans="1:11" x14ac:dyDescent="0.35">
      <c r="A246" s="2">
        <v>245</v>
      </c>
      <c r="B246" s="2" t="s">
        <v>550</v>
      </c>
      <c r="C246" s="3">
        <v>100</v>
      </c>
      <c r="D246" s="2" t="s">
        <v>551</v>
      </c>
      <c r="E246" s="2" t="s">
        <v>552</v>
      </c>
      <c r="F246" s="2" t="s">
        <v>496</v>
      </c>
      <c r="G246" s="2">
        <v>6</v>
      </c>
      <c r="H246" s="2" t="str">
        <f>Configuracion!$B$2</f>
        <v>ON</v>
      </c>
      <c r="I246" s="4">
        <f>Configuracion!$B$3</f>
        <v>0.15</v>
      </c>
      <c r="J246" s="2" t="str">
        <f>IF(UPPER(Configuracion!$B$2)="ON",Configuracion!$B$4,"")</f>
        <v>follow+like+comenta=15%</v>
      </c>
      <c r="K246" s="3">
        <f>IF(UPPER(Configuracion!$B$2)="ON",ROUND(C246*(1-Configuracion!$B$3),0),ROUND(C246,0))</f>
        <v>85</v>
      </c>
    </row>
    <row r="247" spans="1:11" x14ac:dyDescent="0.35">
      <c r="A247" s="2">
        <v>246</v>
      </c>
      <c r="B247" s="2" t="s">
        <v>553</v>
      </c>
      <c r="C247" s="3">
        <v>100</v>
      </c>
      <c r="D247" s="2" t="s">
        <v>554</v>
      </c>
      <c r="E247" s="2" t="s">
        <v>555</v>
      </c>
      <c r="F247" s="2" t="s">
        <v>496</v>
      </c>
      <c r="G247" s="2">
        <v>6</v>
      </c>
      <c r="H247" s="2" t="str">
        <f>Configuracion!$B$2</f>
        <v>ON</v>
      </c>
      <c r="I247" s="4">
        <f>Configuracion!$B$3</f>
        <v>0.15</v>
      </c>
      <c r="J247" s="2" t="str">
        <f>IF(UPPER(Configuracion!$B$2)="ON",Configuracion!$B$4,"")</f>
        <v>follow+like+comenta=15%</v>
      </c>
      <c r="K247" s="3">
        <f>IF(UPPER(Configuracion!$B$2)="ON",ROUND(C247*(1-Configuracion!$B$3),0),ROUND(C247,0))</f>
        <v>85</v>
      </c>
    </row>
    <row r="248" spans="1:11" x14ac:dyDescent="0.35">
      <c r="A248" s="2">
        <v>247</v>
      </c>
      <c r="B248" s="2" t="s">
        <v>556</v>
      </c>
      <c r="C248" s="3">
        <v>100</v>
      </c>
      <c r="D248" s="2" t="s">
        <v>557</v>
      </c>
      <c r="E248" s="2" t="s">
        <v>558</v>
      </c>
      <c r="F248" s="2" t="s">
        <v>496</v>
      </c>
      <c r="G248" s="2">
        <v>6</v>
      </c>
      <c r="H248" s="2" t="str">
        <f>Configuracion!$B$2</f>
        <v>ON</v>
      </c>
      <c r="I248" s="4">
        <f>Configuracion!$B$3</f>
        <v>0.15</v>
      </c>
      <c r="J248" s="2" t="str">
        <f>IF(UPPER(Configuracion!$B$2)="ON",Configuracion!$B$4,"")</f>
        <v>follow+like+comenta=15%</v>
      </c>
      <c r="K248" s="3">
        <f>IF(UPPER(Configuracion!$B$2)="ON",ROUND(C248*(1-Configuracion!$B$3),0),ROUND(C248,0))</f>
        <v>85</v>
      </c>
    </row>
    <row r="249" spans="1:11" x14ac:dyDescent="0.35">
      <c r="A249" s="2">
        <v>248</v>
      </c>
      <c r="B249" s="2" t="s">
        <v>559</v>
      </c>
      <c r="C249" s="3">
        <v>95</v>
      </c>
      <c r="D249" s="2" t="s">
        <v>560</v>
      </c>
      <c r="E249" s="2" t="s">
        <v>561</v>
      </c>
      <c r="F249" s="2" t="s">
        <v>496</v>
      </c>
      <c r="G249" s="2">
        <v>2</v>
      </c>
      <c r="H249" s="2" t="str">
        <f>Configuracion!$B$2</f>
        <v>ON</v>
      </c>
      <c r="I249" s="4">
        <f>Configuracion!$B$3</f>
        <v>0.15</v>
      </c>
      <c r="J249" s="2" t="str">
        <f>IF(UPPER(Configuracion!$B$2)="ON",Configuracion!$B$4,"")</f>
        <v>follow+like+comenta=15%</v>
      </c>
      <c r="K249" s="3">
        <f>IF(UPPER(Configuracion!$B$2)="ON",ROUND(C249*(1-Configuracion!$B$3),0),ROUND(C249,0))</f>
        <v>81</v>
      </c>
    </row>
    <row r="250" spans="1:11" x14ac:dyDescent="0.35">
      <c r="A250" s="2">
        <v>249</v>
      </c>
      <c r="B250" s="2" t="s">
        <v>562</v>
      </c>
      <c r="C250" s="3">
        <v>125</v>
      </c>
      <c r="D250" s="2" t="s">
        <v>563</v>
      </c>
      <c r="E250" s="2" t="s">
        <v>564</v>
      </c>
      <c r="F250" s="2" t="s">
        <v>496</v>
      </c>
      <c r="G250" s="2">
        <v>2</v>
      </c>
      <c r="H250" s="2" t="str">
        <f>Configuracion!$B$2</f>
        <v>ON</v>
      </c>
      <c r="I250" s="4">
        <f>Configuracion!$B$3</f>
        <v>0.15</v>
      </c>
      <c r="J250" s="2" t="str">
        <f>IF(UPPER(Configuracion!$B$2)="ON",Configuracion!$B$4,"")</f>
        <v>follow+like+comenta=15%</v>
      </c>
      <c r="K250" s="3">
        <f>IF(UPPER(Configuracion!$B$2)="ON",ROUND(C250*(1-Configuracion!$B$3),0),ROUND(C250,0))</f>
        <v>106</v>
      </c>
    </row>
    <row r="251" spans="1:11" x14ac:dyDescent="0.35">
      <c r="A251" s="2">
        <v>250</v>
      </c>
      <c r="B251" s="2" t="s">
        <v>565</v>
      </c>
      <c r="C251" s="3">
        <v>105</v>
      </c>
      <c r="D251" s="2" t="s">
        <v>566</v>
      </c>
      <c r="E251" s="2" t="s">
        <v>567</v>
      </c>
      <c r="F251" s="2" t="s">
        <v>496</v>
      </c>
      <c r="G251" s="2">
        <v>1</v>
      </c>
      <c r="H251" s="2" t="str">
        <f>Configuracion!$B$2</f>
        <v>ON</v>
      </c>
      <c r="I251" s="4">
        <f>Configuracion!$B$3</f>
        <v>0.15</v>
      </c>
      <c r="J251" s="2" t="str">
        <f>IF(UPPER(Configuracion!$B$2)="ON",Configuracion!$B$4,"")</f>
        <v>follow+like+comenta=15%</v>
      </c>
      <c r="K251" s="3">
        <f>IF(UPPER(Configuracion!$B$2)="ON",ROUND(C251*(1-Configuracion!$B$3),0),ROUND(C251,0))</f>
        <v>89</v>
      </c>
    </row>
    <row r="252" spans="1:11" ht="12.9" customHeight="1" x14ac:dyDescent="0.35">
      <c r="A252" s="2">
        <v>251</v>
      </c>
      <c r="B252" s="2" t="s">
        <v>568</v>
      </c>
      <c r="C252" s="3">
        <v>100</v>
      </c>
      <c r="D252" s="2" t="s">
        <v>569</v>
      </c>
      <c r="E252" s="2" t="s">
        <v>570</v>
      </c>
      <c r="F252" s="2" t="s">
        <v>496</v>
      </c>
      <c r="G252" s="2">
        <v>2</v>
      </c>
      <c r="H252" s="2" t="str">
        <f>Configuracion!$B$2</f>
        <v>ON</v>
      </c>
      <c r="I252" s="4">
        <f>Configuracion!$B$3</f>
        <v>0.15</v>
      </c>
      <c r="J252" s="2" t="str">
        <f>IF(UPPER(Configuracion!$B$2)="ON",Configuracion!$B$4,"")</f>
        <v>follow+like+comenta=15%</v>
      </c>
      <c r="K252" s="3">
        <f>IF(UPPER(Configuracion!$B$2)="ON",ROUND(C252*(1-Configuracion!$B$3),0),ROUND(C252,0))</f>
        <v>85</v>
      </c>
    </row>
    <row r="253" spans="1:11" x14ac:dyDescent="0.35">
      <c r="A253" s="2">
        <v>252</v>
      </c>
      <c r="B253" s="2" t="s">
        <v>571</v>
      </c>
      <c r="C253" s="3">
        <v>115</v>
      </c>
      <c r="D253" s="2" t="s">
        <v>572</v>
      </c>
      <c r="E253" s="2" t="s">
        <v>573</v>
      </c>
      <c r="F253" s="2" t="s">
        <v>496</v>
      </c>
      <c r="G253" s="2">
        <v>2</v>
      </c>
      <c r="H253" s="2" t="str">
        <f>Configuracion!$B$2</f>
        <v>ON</v>
      </c>
      <c r="I253" s="4">
        <f>Configuracion!$B$3</f>
        <v>0.15</v>
      </c>
      <c r="J253" s="2" t="str">
        <f>IF(UPPER(Configuracion!$B$2)="ON",Configuracion!$B$4,"")</f>
        <v>follow+like+comenta=15%</v>
      </c>
      <c r="K253" s="3">
        <f>IF(UPPER(Configuracion!$B$2)="ON",ROUND(C253*(1-Configuracion!$B$3),0),ROUND(C253,0))</f>
        <v>98</v>
      </c>
    </row>
    <row r="254" spans="1:11" x14ac:dyDescent="0.35">
      <c r="A254" s="2">
        <v>253</v>
      </c>
      <c r="B254" s="2" t="s">
        <v>574</v>
      </c>
      <c r="C254" s="3">
        <v>110</v>
      </c>
      <c r="D254" s="2" t="s">
        <v>575</v>
      </c>
      <c r="E254" s="2" t="s">
        <v>576</v>
      </c>
      <c r="F254" s="2" t="s">
        <v>496</v>
      </c>
      <c r="G254" s="2">
        <v>2</v>
      </c>
      <c r="H254" s="2" t="str">
        <f>Configuracion!$B$2</f>
        <v>ON</v>
      </c>
      <c r="I254" s="4">
        <f>Configuracion!$B$3</f>
        <v>0.15</v>
      </c>
      <c r="J254" s="2" t="str">
        <f>IF(UPPER(Configuracion!$B$2)="ON",Configuracion!$B$4,"")</f>
        <v>follow+like+comenta=15%</v>
      </c>
      <c r="K254" s="3">
        <f>IF(UPPER(Configuracion!$B$2)="ON",ROUND(C254*(1-Configuracion!$B$3),0),ROUND(C254,0))</f>
        <v>94</v>
      </c>
    </row>
    <row r="255" spans="1:11" x14ac:dyDescent="0.35">
      <c r="A255" s="2">
        <v>254</v>
      </c>
      <c r="B255" s="2" t="s">
        <v>577</v>
      </c>
      <c r="C255" s="3">
        <v>110</v>
      </c>
      <c r="D255" s="2" t="s">
        <v>578</v>
      </c>
      <c r="E255" s="2" t="s">
        <v>579</v>
      </c>
      <c r="F255" s="2" t="s">
        <v>496</v>
      </c>
      <c r="G255" s="2">
        <v>2</v>
      </c>
      <c r="H255" s="2" t="str">
        <f>Configuracion!$B$2</f>
        <v>ON</v>
      </c>
      <c r="I255" s="4">
        <f>Configuracion!$B$3</f>
        <v>0.15</v>
      </c>
      <c r="J255" s="2" t="str">
        <f>IF(UPPER(Configuracion!$B$2)="ON",Configuracion!$B$4,"")</f>
        <v>follow+like+comenta=15%</v>
      </c>
      <c r="K255" s="3">
        <f>IF(UPPER(Configuracion!$B$2)="ON",ROUND(C255*(1-Configuracion!$B$3),0),ROUND(C255,0))</f>
        <v>94</v>
      </c>
    </row>
    <row r="256" spans="1:11" x14ac:dyDescent="0.35">
      <c r="A256" s="2">
        <v>255</v>
      </c>
      <c r="B256" s="2" t="s">
        <v>580</v>
      </c>
      <c r="C256" s="3">
        <v>110</v>
      </c>
      <c r="D256" s="2" t="s">
        <v>581</v>
      </c>
      <c r="E256" s="2" t="s">
        <v>582</v>
      </c>
      <c r="F256" s="2" t="s">
        <v>496</v>
      </c>
      <c r="G256" s="2">
        <v>2</v>
      </c>
      <c r="H256" s="2" t="str">
        <f>Configuracion!$B$2</f>
        <v>ON</v>
      </c>
      <c r="I256" s="4">
        <f>Configuracion!$B$3</f>
        <v>0.15</v>
      </c>
      <c r="J256" s="2" t="str">
        <f>IF(UPPER(Configuracion!$B$2)="ON",Configuracion!$B$4,"")</f>
        <v>follow+like+comenta=15%</v>
      </c>
      <c r="K256" s="3">
        <f>IF(UPPER(Configuracion!$B$2)="ON",ROUND(C256*(1-Configuracion!$B$3),0),ROUND(C256,0))</f>
        <v>94</v>
      </c>
    </row>
    <row r="257" spans="1:11" x14ac:dyDescent="0.35">
      <c r="A257" s="2">
        <v>256</v>
      </c>
      <c r="B257" s="2" t="s">
        <v>583</v>
      </c>
      <c r="C257" s="3">
        <v>110</v>
      </c>
      <c r="D257" s="2" t="s">
        <v>584</v>
      </c>
      <c r="E257" s="2" t="s">
        <v>585</v>
      </c>
      <c r="F257" s="2" t="s">
        <v>496</v>
      </c>
      <c r="G257" s="2">
        <v>2</v>
      </c>
      <c r="H257" s="2" t="str">
        <f>Configuracion!$B$2</f>
        <v>ON</v>
      </c>
      <c r="I257" s="4">
        <f>Configuracion!$B$3</f>
        <v>0.15</v>
      </c>
      <c r="J257" s="2" t="str">
        <f>IF(UPPER(Configuracion!$B$2)="ON",Configuracion!$B$4,"")</f>
        <v>follow+like+comenta=15%</v>
      </c>
      <c r="K257" s="3">
        <f>IF(UPPER(Configuracion!$B$2)="ON",ROUND(C257*(1-Configuracion!$B$3),0),ROUND(C257,0))</f>
        <v>94</v>
      </c>
    </row>
    <row r="258" spans="1:11" ht="12.9" customHeight="1" x14ac:dyDescent="0.35">
      <c r="A258" s="2">
        <v>257</v>
      </c>
      <c r="B258" s="2" t="s">
        <v>586</v>
      </c>
      <c r="C258" s="3">
        <v>140</v>
      </c>
      <c r="D258" s="2" t="s">
        <v>587</v>
      </c>
      <c r="E258" s="2" t="s">
        <v>588</v>
      </c>
      <c r="F258" s="2" t="s">
        <v>496</v>
      </c>
      <c r="G258" s="2">
        <v>3</v>
      </c>
      <c r="H258" s="2" t="str">
        <f>Configuracion!$B$2</f>
        <v>ON</v>
      </c>
      <c r="I258" s="4">
        <f>Configuracion!$B$3</f>
        <v>0.15</v>
      </c>
      <c r="J258" s="2" t="str">
        <f>IF(UPPER(Configuracion!$B$2)="ON",Configuracion!$B$4,"")</f>
        <v>follow+like+comenta=15%</v>
      </c>
      <c r="K258" s="3">
        <f>IF(UPPER(Configuracion!$B$2)="ON",ROUND(C258*(1-Configuracion!$B$3),0),ROUND(C258,0))</f>
        <v>119</v>
      </c>
    </row>
    <row r="259" spans="1:11" ht="12.9" customHeight="1" x14ac:dyDescent="0.35">
      <c r="A259" s="2">
        <v>258</v>
      </c>
      <c r="B259" s="2" t="s">
        <v>589</v>
      </c>
      <c r="C259" s="3">
        <v>140</v>
      </c>
      <c r="D259" s="2" t="s">
        <v>590</v>
      </c>
      <c r="E259" s="2" t="s">
        <v>591</v>
      </c>
      <c r="F259" s="2" t="s">
        <v>496</v>
      </c>
      <c r="G259" s="2">
        <v>3</v>
      </c>
      <c r="H259" s="2" t="str">
        <f>Configuracion!$B$2</f>
        <v>ON</v>
      </c>
      <c r="I259" s="4">
        <f>Configuracion!$B$3</f>
        <v>0.15</v>
      </c>
      <c r="J259" s="2" t="str">
        <f>IF(UPPER(Configuracion!$B$2)="ON",Configuracion!$B$4,"")</f>
        <v>follow+like+comenta=15%</v>
      </c>
      <c r="K259" s="3">
        <f>IF(UPPER(Configuracion!$B$2)="ON",ROUND(C259*(1-Configuracion!$B$3),0),ROUND(C259,0))</f>
        <v>119</v>
      </c>
    </row>
    <row r="260" spans="1:11" ht="12.9" customHeight="1" x14ac:dyDescent="0.35">
      <c r="A260" s="2">
        <v>259</v>
      </c>
      <c r="B260" s="2" t="s">
        <v>592</v>
      </c>
      <c r="C260" s="3">
        <v>130</v>
      </c>
      <c r="D260" s="2" t="s">
        <v>593</v>
      </c>
      <c r="E260" s="2" t="s">
        <v>594</v>
      </c>
      <c r="F260" s="2" t="s">
        <v>496</v>
      </c>
      <c r="G260" s="2">
        <v>3</v>
      </c>
      <c r="H260" s="2" t="str">
        <f>Configuracion!$B$2</f>
        <v>ON</v>
      </c>
      <c r="I260" s="4">
        <f>Configuracion!$B$3</f>
        <v>0.15</v>
      </c>
      <c r="J260" s="2" t="str">
        <f>IF(UPPER(Configuracion!$B$2)="ON",Configuracion!$B$4,"")</f>
        <v>follow+like+comenta=15%</v>
      </c>
      <c r="K260" s="3">
        <f>IF(UPPER(Configuracion!$B$2)="ON",ROUND(C260*(1-Configuracion!$B$3),0),ROUND(C260,0))</f>
        <v>111</v>
      </c>
    </row>
    <row r="261" spans="1:11" x14ac:dyDescent="0.35">
      <c r="A261" s="2">
        <v>260</v>
      </c>
      <c r="B261" s="2" t="s">
        <v>595</v>
      </c>
      <c r="C261" s="3">
        <v>110</v>
      </c>
      <c r="D261" s="2" t="s">
        <v>596</v>
      </c>
      <c r="E261" s="2" t="s">
        <v>597</v>
      </c>
      <c r="F261" s="2" t="s">
        <v>496</v>
      </c>
      <c r="G261" s="2">
        <v>5</v>
      </c>
      <c r="H261" s="2" t="str">
        <f>Configuracion!$B$2</f>
        <v>ON</v>
      </c>
      <c r="I261" s="4">
        <f>Configuracion!$B$3</f>
        <v>0.15</v>
      </c>
      <c r="J261" s="2" t="str">
        <f>IF(UPPER(Configuracion!$B$2)="ON",Configuracion!$B$4,"")</f>
        <v>follow+like+comenta=15%</v>
      </c>
      <c r="K261" s="3">
        <f>IF(UPPER(Configuracion!$B$2)="ON",ROUND(C261*(1-Configuracion!$B$3),0),ROUND(C261,0))</f>
        <v>94</v>
      </c>
    </row>
    <row r="262" spans="1:11" x14ac:dyDescent="0.35">
      <c r="A262" s="2">
        <v>261</v>
      </c>
      <c r="B262" s="2" t="s">
        <v>598</v>
      </c>
      <c r="C262" s="3">
        <v>105</v>
      </c>
      <c r="D262" s="2" t="s">
        <v>599</v>
      </c>
      <c r="E262" s="2" t="s">
        <v>600</v>
      </c>
      <c r="F262" s="2" t="s">
        <v>496</v>
      </c>
      <c r="G262" s="2">
        <v>4</v>
      </c>
      <c r="H262" s="2" t="str">
        <f>Configuracion!$B$2</f>
        <v>ON</v>
      </c>
      <c r="I262" s="4">
        <f>Configuracion!$B$3</f>
        <v>0.15</v>
      </c>
      <c r="J262" s="2" t="str">
        <f>IF(UPPER(Configuracion!$B$2)="ON",Configuracion!$B$4,"")</f>
        <v>follow+like+comenta=15%</v>
      </c>
      <c r="K262" s="3">
        <f>IF(UPPER(Configuracion!$B$2)="ON",ROUND(C262*(1-Configuracion!$B$3),0),ROUND(C262,0))</f>
        <v>89</v>
      </c>
    </row>
    <row r="263" spans="1:11" ht="12.9" customHeight="1" x14ac:dyDescent="0.35">
      <c r="A263" s="2">
        <v>262</v>
      </c>
      <c r="B263" s="2" t="s">
        <v>601</v>
      </c>
      <c r="C263" s="3">
        <v>125</v>
      </c>
      <c r="D263" s="2" t="s">
        <v>602</v>
      </c>
      <c r="E263" s="2" t="s">
        <v>603</v>
      </c>
      <c r="F263" s="2" t="s">
        <v>496</v>
      </c>
      <c r="G263" s="2">
        <v>1</v>
      </c>
      <c r="H263" s="2" t="str">
        <f>Configuracion!$B$2</f>
        <v>ON</v>
      </c>
      <c r="I263" s="4">
        <f>Configuracion!$B$3</f>
        <v>0.15</v>
      </c>
      <c r="J263" s="2" t="str">
        <f>IF(UPPER(Configuracion!$B$2)="ON",Configuracion!$B$4,"")</f>
        <v>follow+like+comenta=15%</v>
      </c>
      <c r="K263" s="3">
        <f>IF(UPPER(Configuracion!$B$2)="ON",ROUND(C263*(1-Configuracion!$B$3),0),ROUND(C263,0))</f>
        <v>106</v>
      </c>
    </row>
    <row r="264" spans="1:11" ht="12.9" customHeight="1" x14ac:dyDescent="0.35">
      <c r="A264" s="2">
        <v>263</v>
      </c>
      <c r="B264" s="2" t="s">
        <v>604</v>
      </c>
      <c r="C264" s="3">
        <v>125</v>
      </c>
      <c r="D264" s="2" t="s">
        <v>605</v>
      </c>
      <c r="E264" s="2" t="s">
        <v>606</v>
      </c>
      <c r="F264" s="2" t="s">
        <v>496</v>
      </c>
      <c r="G264" s="2">
        <v>1</v>
      </c>
      <c r="H264" s="2" t="str">
        <f>Configuracion!$B$2</f>
        <v>ON</v>
      </c>
      <c r="I264" s="4">
        <f>Configuracion!$B$3</f>
        <v>0.15</v>
      </c>
      <c r="J264" s="2" t="str">
        <f>IF(UPPER(Configuracion!$B$2)="ON",Configuracion!$B$4,"")</f>
        <v>follow+like+comenta=15%</v>
      </c>
      <c r="K264" s="3">
        <f>IF(UPPER(Configuracion!$B$2)="ON",ROUND(C264*(1-Configuracion!$B$3),0),ROUND(C264,0))</f>
        <v>106</v>
      </c>
    </row>
    <row r="265" spans="1:11" ht="12.9" customHeight="1" x14ac:dyDescent="0.35">
      <c r="A265" s="2">
        <v>264</v>
      </c>
      <c r="B265" s="2" t="s">
        <v>607</v>
      </c>
      <c r="C265" s="3">
        <v>180</v>
      </c>
      <c r="D265" s="2" t="s">
        <v>608</v>
      </c>
      <c r="E265" s="2" t="s">
        <v>609</v>
      </c>
      <c r="F265" s="2" t="s">
        <v>496</v>
      </c>
      <c r="G265" s="2">
        <v>1</v>
      </c>
      <c r="H265" s="2" t="str">
        <f>Configuracion!$B$2</f>
        <v>ON</v>
      </c>
      <c r="I265" s="4">
        <f>Configuracion!$B$3</f>
        <v>0.15</v>
      </c>
      <c r="J265" s="2" t="str">
        <f>IF(UPPER(Configuracion!$B$2)="ON",Configuracion!$B$4,"")</f>
        <v>follow+like+comenta=15%</v>
      </c>
      <c r="K265" s="3">
        <f>IF(UPPER(Configuracion!$B$2)="ON",ROUND(C265*(1-Configuracion!$B$3),0),ROUND(C265,0))</f>
        <v>153</v>
      </c>
    </row>
    <row r="266" spans="1:11" ht="12.9" customHeight="1" x14ac:dyDescent="0.35">
      <c r="A266" s="2">
        <v>265</v>
      </c>
      <c r="B266" s="2" t="s">
        <v>610</v>
      </c>
      <c r="C266" s="3">
        <v>180</v>
      </c>
      <c r="D266" s="2" t="s">
        <v>611</v>
      </c>
      <c r="E266" s="2" t="s">
        <v>612</v>
      </c>
      <c r="F266" s="2" t="s">
        <v>496</v>
      </c>
      <c r="G266" s="2">
        <v>1</v>
      </c>
      <c r="H266" s="2" t="str">
        <f>Configuracion!$B$2</f>
        <v>ON</v>
      </c>
      <c r="I266" s="4">
        <f>Configuracion!$B$3</f>
        <v>0.15</v>
      </c>
      <c r="J266" s="2" t="str">
        <f>IF(UPPER(Configuracion!$B$2)="ON",Configuracion!$B$4,"")</f>
        <v>follow+like+comenta=15%</v>
      </c>
      <c r="K266" s="3">
        <f>IF(UPPER(Configuracion!$B$2)="ON",ROUND(C266*(1-Configuracion!$B$3),0),ROUND(C266,0))</f>
        <v>153</v>
      </c>
    </row>
    <row r="267" spans="1:11" ht="12.9" customHeight="1" x14ac:dyDescent="0.35">
      <c r="A267" s="2">
        <v>266</v>
      </c>
      <c r="B267" s="2" t="s">
        <v>613</v>
      </c>
      <c r="C267" s="3">
        <v>180</v>
      </c>
      <c r="D267" s="2" t="s">
        <v>614</v>
      </c>
      <c r="E267" s="2" t="s">
        <v>615</v>
      </c>
      <c r="F267" s="2" t="s">
        <v>496</v>
      </c>
      <c r="G267" s="2">
        <v>1</v>
      </c>
      <c r="H267" s="2" t="str">
        <f>Configuracion!$B$2</f>
        <v>ON</v>
      </c>
      <c r="I267" s="4">
        <f>Configuracion!$B$3</f>
        <v>0.15</v>
      </c>
      <c r="J267" s="2" t="str">
        <f>IF(UPPER(Configuracion!$B$2)="ON",Configuracion!$B$4,"")</f>
        <v>follow+like+comenta=15%</v>
      </c>
      <c r="K267" s="3">
        <f>IF(UPPER(Configuracion!$B$2)="ON",ROUND(C267*(1-Configuracion!$B$3),0),ROUND(C267,0))</f>
        <v>153</v>
      </c>
    </row>
    <row r="268" spans="1:11" x14ac:dyDescent="0.35">
      <c r="A268" s="2">
        <v>267</v>
      </c>
      <c r="B268" s="2" t="s">
        <v>616</v>
      </c>
      <c r="C268" s="3">
        <v>200</v>
      </c>
      <c r="D268" s="2" t="s">
        <v>617</v>
      </c>
      <c r="E268" s="2" t="s">
        <v>618</v>
      </c>
      <c r="F268" s="2" t="s">
        <v>496</v>
      </c>
      <c r="G268" s="2">
        <v>3</v>
      </c>
      <c r="H268" s="2" t="str">
        <f>Configuracion!$B$2</f>
        <v>ON</v>
      </c>
      <c r="I268" s="4">
        <f>Configuracion!$B$3</f>
        <v>0.15</v>
      </c>
      <c r="J268" s="2" t="str">
        <f>IF(UPPER(Configuracion!$B$2)="ON",Configuracion!$B$4,"")</f>
        <v>follow+like+comenta=15%</v>
      </c>
      <c r="K268" s="3">
        <f>IF(UPPER(Configuracion!$B$2)="ON",ROUND(C268*(1-Configuracion!$B$3),0),ROUND(C268,0))</f>
        <v>170</v>
      </c>
    </row>
    <row r="269" spans="1:11" x14ac:dyDescent="0.35">
      <c r="A269" s="2">
        <v>268</v>
      </c>
      <c r="B269" s="2" t="s">
        <v>619</v>
      </c>
      <c r="C269" s="3">
        <v>200</v>
      </c>
      <c r="D269" s="2" t="s">
        <v>620</v>
      </c>
      <c r="E269" s="2" t="s">
        <v>621</v>
      </c>
      <c r="F269" s="2" t="s">
        <v>496</v>
      </c>
      <c r="G269" s="2">
        <v>3</v>
      </c>
      <c r="H269" s="2" t="str">
        <f>Configuracion!$B$2</f>
        <v>ON</v>
      </c>
      <c r="I269" s="4">
        <f>Configuracion!$B$3</f>
        <v>0.15</v>
      </c>
      <c r="J269" s="2" t="str">
        <f>IF(UPPER(Configuracion!$B$2)="ON",Configuracion!$B$4,"")</f>
        <v>follow+like+comenta=15%</v>
      </c>
      <c r="K269" s="3">
        <f>IF(UPPER(Configuracion!$B$2)="ON",ROUND(C269*(1-Configuracion!$B$3),0),ROUND(C269,0))</f>
        <v>170</v>
      </c>
    </row>
    <row r="270" spans="1:11" x14ac:dyDescent="0.35">
      <c r="A270" s="2">
        <v>269</v>
      </c>
      <c r="B270" s="2" t="s">
        <v>622</v>
      </c>
      <c r="C270" s="3">
        <v>200</v>
      </c>
      <c r="D270" s="2" t="s">
        <v>623</v>
      </c>
      <c r="E270" s="2" t="s">
        <v>624</v>
      </c>
      <c r="F270" s="2" t="s">
        <v>496</v>
      </c>
      <c r="G270" s="2">
        <v>3</v>
      </c>
      <c r="H270" s="2" t="str">
        <f>Configuracion!$B$2</f>
        <v>ON</v>
      </c>
      <c r="I270" s="4">
        <f>Configuracion!$B$3</f>
        <v>0.15</v>
      </c>
      <c r="J270" s="2" t="str">
        <f>IF(UPPER(Configuracion!$B$2)="ON",Configuracion!$B$4,"")</f>
        <v>follow+like+comenta=15%</v>
      </c>
      <c r="K270" s="3">
        <f>IF(UPPER(Configuracion!$B$2)="ON",ROUND(C270*(1-Configuracion!$B$3),0),ROUND(C270,0))</f>
        <v>170</v>
      </c>
    </row>
    <row r="271" spans="1:11" ht="12.9" customHeight="1" x14ac:dyDescent="0.35">
      <c r="A271" s="2">
        <v>270</v>
      </c>
      <c r="B271" s="2" t="s">
        <v>625</v>
      </c>
      <c r="C271" s="3">
        <v>155</v>
      </c>
      <c r="D271" s="2" t="s">
        <v>626</v>
      </c>
      <c r="E271" s="2" t="s">
        <v>627</v>
      </c>
      <c r="F271" s="2" t="s">
        <v>496</v>
      </c>
      <c r="G271" s="2">
        <v>2</v>
      </c>
      <c r="H271" s="2" t="str">
        <f>Configuracion!$B$2</f>
        <v>ON</v>
      </c>
      <c r="I271" s="4">
        <f>Configuracion!$B$3</f>
        <v>0.15</v>
      </c>
      <c r="J271" s="2" t="str">
        <f>IF(UPPER(Configuracion!$B$2)="ON",Configuracion!$B$4,"")</f>
        <v>follow+like+comenta=15%</v>
      </c>
      <c r="K271" s="3">
        <f>IF(UPPER(Configuracion!$B$2)="ON",ROUND(C271*(1-Configuracion!$B$3),0),ROUND(C271,0))</f>
        <v>132</v>
      </c>
    </row>
    <row r="272" spans="1:11" x14ac:dyDescent="0.35">
      <c r="A272" s="2">
        <v>271</v>
      </c>
      <c r="B272" s="2" t="s">
        <v>628</v>
      </c>
      <c r="C272" s="3">
        <v>155</v>
      </c>
      <c r="D272" s="2" t="s">
        <v>629</v>
      </c>
      <c r="E272" s="2" t="s">
        <v>630</v>
      </c>
      <c r="F272" s="2" t="s">
        <v>496</v>
      </c>
      <c r="G272" s="2">
        <v>2</v>
      </c>
      <c r="H272" s="2" t="str">
        <f>Configuracion!$B$2</f>
        <v>ON</v>
      </c>
      <c r="I272" s="4">
        <f>Configuracion!$B$3</f>
        <v>0.15</v>
      </c>
      <c r="J272" s="2" t="str">
        <f>IF(UPPER(Configuracion!$B$2)="ON",Configuracion!$B$4,"")</f>
        <v>follow+like+comenta=15%</v>
      </c>
      <c r="K272" s="3">
        <f>IF(UPPER(Configuracion!$B$2)="ON",ROUND(C272*(1-Configuracion!$B$3),0),ROUND(C272,0))</f>
        <v>132</v>
      </c>
    </row>
    <row r="273" spans="1:11" x14ac:dyDescent="0.35">
      <c r="A273" s="2">
        <v>272</v>
      </c>
      <c r="B273" s="2" t="s">
        <v>631</v>
      </c>
      <c r="C273" s="3">
        <v>155</v>
      </c>
      <c r="D273" s="2" t="s">
        <v>632</v>
      </c>
      <c r="E273" s="2" t="s">
        <v>633</v>
      </c>
      <c r="F273" s="2" t="s">
        <v>496</v>
      </c>
      <c r="G273" s="2">
        <v>2</v>
      </c>
      <c r="H273" s="2" t="str">
        <f>Configuracion!$B$2</f>
        <v>ON</v>
      </c>
      <c r="I273" s="4">
        <f>Configuracion!$B$3</f>
        <v>0.15</v>
      </c>
      <c r="J273" s="2" t="str">
        <f>IF(UPPER(Configuracion!$B$2)="ON",Configuracion!$B$4,"")</f>
        <v>follow+like+comenta=15%</v>
      </c>
      <c r="K273" s="3">
        <f>IF(UPPER(Configuracion!$B$2)="ON",ROUND(C273*(1-Configuracion!$B$3),0),ROUND(C273,0))</f>
        <v>132</v>
      </c>
    </row>
    <row r="274" spans="1:11" ht="12.9" customHeight="1" x14ac:dyDescent="0.35">
      <c r="A274" s="2">
        <v>273</v>
      </c>
      <c r="B274" s="2" t="s">
        <v>634</v>
      </c>
      <c r="C274" s="3">
        <v>125</v>
      </c>
      <c r="D274" s="2" t="s">
        <v>635</v>
      </c>
      <c r="E274" s="2" t="s">
        <v>636</v>
      </c>
      <c r="F274" s="2" t="s">
        <v>496</v>
      </c>
      <c r="G274" s="2">
        <v>2</v>
      </c>
      <c r="H274" s="2" t="str">
        <f>Configuracion!$B$2</f>
        <v>ON</v>
      </c>
      <c r="I274" s="4">
        <f>Configuracion!$B$3</f>
        <v>0.15</v>
      </c>
      <c r="J274" s="2" t="str">
        <f>IF(UPPER(Configuracion!$B$2)="ON",Configuracion!$B$4,"")</f>
        <v>follow+like+comenta=15%</v>
      </c>
      <c r="K274" s="3">
        <f>IF(UPPER(Configuracion!$B$2)="ON",ROUND(C274*(1-Configuracion!$B$3),0),ROUND(C274,0))</f>
        <v>106</v>
      </c>
    </row>
    <row r="275" spans="1:11" ht="12.9" customHeight="1" x14ac:dyDescent="0.35">
      <c r="A275" s="2">
        <v>274</v>
      </c>
      <c r="B275" s="2" t="s">
        <v>637</v>
      </c>
      <c r="C275" s="3">
        <v>125</v>
      </c>
      <c r="D275" s="2" t="s">
        <v>638</v>
      </c>
      <c r="E275" s="2" t="s">
        <v>639</v>
      </c>
      <c r="F275" s="2" t="s">
        <v>496</v>
      </c>
      <c r="G275" s="2">
        <v>2</v>
      </c>
      <c r="H275" s="2" t="str">
        <f>Configuracion!$B$2</f>
        <v>ON</v>
      </c>
      <c r="I275" s="4">
        <f>Configuracion!$B$3</f>
        <v>0.15</v>
      </c>
      <c r="J275" s="2" t="str">
        <f>IF(UPPER(Configuracion!$B$2)="ON",Configuracion!$B$4,"")</f>
        <v>follow+like+comenta=15%</v>
      </c>
      <c r="K275" s="3">
        <f>IF(UPPER(Configuracion!$B$2)="ON",ROUND(C275*(1-Configuracion!$B$3),0),ROUND(C275,0))</f>
        <v>106</v>
      </c>
    </row>
    <row r="276" spans="1:11" ht="12.9" customHeight="1" x14ac:dyDescent="0.35">
      <c r="A276" s="2">
        <v>275</v>
      </c>
      <c r="B276" s="2" t="s">
        <v>640</v>
      </c>
      <c r="C276" s="3">
        <v>125</v>
      </c>
      <c r="D276" s="2" t="s">
        <v>641</v>
      </c>
      <c r="E276" s="2" t="s">
        <v>642</v>
      </c>
      <c r="F276" s="2" t="s">
        <v>496</v>
      </c>
      <c r="G276" s="2">
        <v>2</v>
      </c>
      <c r="H276" s="2" t="str">
        <f>Configuracion!$B$2</f>
        <v>ON</v>
      </c>
      <c r="I276" s="4">
        <f>Configuracion!$B$3</f>
        <v>0.15</v>
      </c>
      <c r="J276" s="2" t="str">
        <f>IF(UPPER(Configuracion!$B$2)="ON",Configuracion!$B$4,"")</f>
        <v>follow+like+comenta=15%</v>
      </c>
      <c r="K276" s="3">
        <f>IF(UPPER(Configuracion!$B$2)="ON",ROUND(C276*(1-Configuracion!$B$3),0),ROUND(C276,0))</f>
        <v>106</v>
      </c>
    </row>
    <row r="277" spans="1:11" ht="12.9" customHeight="1" x14ac:dyDescent="0.35">
      <c r="A277" s="2">
        <v>276</v>
      </c>
      <c r="B277" s="2" t="s">
        <v>643</v>
      </c>
      <c r="C277" s="3">
        <v>125</v>
      </c>
      <c r="D277" s="2" t="s">
        <v>644</v>
      </c>
      <c r="E277" s="2" t="s">
        <v>642</v>
      </c>
      <c r="F277" s="2" t="s">
        <v>496</v>
      </c>
      <c r="G277" s="2">
        <v>2</v>
      </c>
      <c r="H277" s="2" t="str">
        <f>Configuracion!$B$2</f>
        <v>ON</v>
      </c>
      <c r="I277" s="4">
        <f>Configuracion!$B$3</f>
        <v>0.15</v>
      </c>
      <c r="J277" s="2" t="str">
        <f>IF(UPPER(Configuracion!$B$2)="ON",Configuracion!$B$4,"")</f>
        <v>follow+like+comenta=15%</v>
      </c>
      <c r="K277" s="3">
        <f>IF(UPPER(Configuracion!$B$2)="ON",ROUND(C277*(1-Configuracion!$B$3),0),ROUND(C277,0))</f>
        <v>106</v>
      </c>
    </row>
    <row r="278" spans="1:11" ht="12.9" customHeight="1" x14ac:dyDescent="0.35">
      <c r="A278" s="2">
        <v>277</v>
      </c>
      <c r="B278" s="2" t="s">
        <v>645</v>
      </c>
      <c r="C278" s="3">
        <v>130</v>
      </c>
      <c r="D278" s="2" t="s">
        <v>646</v>
      </c>
      <c r="E278" s="2" t="s">
        <v>647</v>
      </c>
      <c r="F278" s="2" t="s">
        <v>496</v>
      </c>
      <c r="G278" s="2">
        <v>2</v>
      </c>
      <c r="H278" s="2" t="str">
        <f>Configuracion!$B$2</f>
        <v>ON</v>
      </c>
      <c r="I278" s="4">
        <f>Configuracion!$B$3</f>
        <v>0.15</v>
      </c>
      <c r="J278" s="2" t="str">
        <f>IF(UPPER(Configuracion!$B$2)="ON",Configuracion!$B$4,"")</f>
        <v>follow+like+comenta=15%</v>
      </c>
      <c r="K278" s="3">
        <f>IF(UPPER(Configuracion!$B$2)="ON",ROUND(C278*(1-Configuracion!$B$3),0),ROUND(C278,0))</f>
        <v>111</v>
      </c>
    </row>
    <row r="279" spans="1:11" x14ac:dyDescent="0.35">
      <c r="A279" s="2">
        <v>278</v>
      </c>
      <c r="B279" s="2" t="s">
        <v>648</v>
      </c>
      <c r="C279" s="3">
        <v>130</v>
      </c>
      <c r="D279" s="2" t="s">
        <v>649</v>
      </c>
      <c r="E279" s="2" t="s">
        <v>650</v>
      </c>
      <c r="F279" s="2" t="s">
        <v>496</v>
      </c>
      <c r="G279" s="2">
        <v>2</v>
      </c>
      <c r="H279" s="2" t="str">
        <f>Configuracion!$B$2</f>
        <v>ON</v>
      </c>
      <c r="I279" s="4">
        <f>Configuracion!$B$3</f>
        <v>0.15</v>
      </c>
      <c r="J279" s="2" t="str">
        <f>IF(UPPER(Configuracion!$B$2)="ON",Configuracion!$B$4,"")</f>
        <v>follow+like+comenta=15%</v>
      </c>
      <c r="K279" s="3">
        <f>IF(UPPER(Configuracion!$B$2)="ON",ROUND(C279*(1-Configuracion!$B$3),0),ROUND(C279,0))</f>
        <v>111</v>
      </c>
    </row>
    <row r="280" spans="1:11" x14ac:dyDescent="0.35">
      <c r="A280" s="2">
        <v>279</v>
      </c>
      <c r="B280" s="2" t="s">
        <v>651</v>
      </c>
      <c r="C280" s="3">
        <v>125</v>
      </c>
      <c r="D280" s="2" t="s">
        <v>652</v>
      </c>
      <c r="E280" s="2" t="s">
        <v>653</v>
      </c>
      <c r="F280" s="2" t="s">
        <v>496</v>
      </c>
      <c r="G280" s="2">
        <v>2</v>
      </c>
      <c r="H280" s="2" t="str">
        <f>Configuracion!$B$2</f>
        <v>ON</v>
      </c>
      <c r="I280" s="4">
        <f>Configuracion!$B$3</f>
        <v>0.15</v>
      </c>
      <c r="J280" s="2" t="str">
        <f>IF(UPPER(Configuracion!$B$2)="ON",Configuracion!$B$4,"")</f>
        <v>follow+like+comenta=15%</v>
      </c>
      <c r="K280" s="3">
        <f>IF(UPPER(Configuracion!$B$2)="ON",ROUND(C280*(1-Configuracion!$B$3),0),ROUND(C280,0))</f>
        <v>106</v>
      </c>
    </row>
    <row r="281" spans="1:11" ht="12.9" customHeight="1" x14ac:dyDescent="0.35">
      <c r="A281" s="2">
        <v>280</v>
      </c>
      <c r="B281" s="2" t="s">
        <v>654</v>
      </c>
      <c r="C281" s="3">
        <v>125</v>
      </c>
      <c r="D281" s="2" t="s">
        <v>655</v>
      </c>
      <c r="E281" s="2" t="s">
        <v>656</v>
      </c>
      <c r="F281" s="2" t="s">
        <v>496</v>
      </c>
      <c r="G281" s="2">
        <v>2</v>
      </c>
      <c r="H281" s="2" t="str">
        <f>Configuracion!$B$2</f>
        <v>ON</v>
      </c>
      <c r="I281" s="4">
        <f>Configuracion!$B$3</f>
        <v>0.15</v>
      </c>
      <c r="J281" s="2" t="str">
        <f>IF(UPPER(Configuracion!$B$2)="ON",Configuracion!$B$4,"")</f>
        <v>follow+like+comenta=15%</v>
      </c>
      <c r="K281" s="3">
        <f>IF(UPPER(Configuracion!$B$2)="ON",ROUND(C281*(1-Configuracion!$B$3),0),ROUND(C281,0))</f>
        <v>106</v>
      </c>
    </row>
    <row r="282" spans="1:11" ht="12.9" customHeight="1" x14ac:dyDescent="0.35">
      <c r="A282" s="2">
        <v>281</v>
      </c>
      <c r="B282" s="2" t="s">
        <v>657</v>
      </c>
      <c r="C282" s="3">
        <v>125</v>
      </c>
      <c r="D282" s="2" t="s">
        <v>658</v>
      </c>
      <c r="E282" s="2" t="s">
        <v>659</v>
      </c>
      <c r="F282" s="2" t="s">
        <v>496</v>
      </c>
      <c r="G282" s="2">
        <v>2</v>
      </c>
      <c r="H282" s="2" t="str">
        <f>Configuracion!$B$2</f>
        <v>ON</v>
      </c>
      <c r="I282" s="4">
        <f>Configuracion!$B$3</f>
        <v>0.15</v>
      </c>
      <c r="J282" s="2" t="str">
        <f>IF(UPPER(Configuracion!$B$2)="ON",Configuracion!$B$4,"")</f>
        <v>follow+like+comenta=15%</v>
      </c>
      <c r="K282" s="3">
        <f>IF(UPPER(Configuracion!$B$2)="ON",ROUND(C282*(1-Configuracion!$B$3),0),ROUND(C282,0))</f>
        <v>106</v>
      </c>
    </row>
    <row r="283" spans="1:11" ht="12.9" customHeight="1" x14ac:dyDescent="0.35">
      <c r="A283" s="2">
        <v>282</v>
      </c>
      <c r="B283" s="2" t="s">
        <v>660</v>
      </c>
      <c r="C283" s="3">
        <v>125</v>
      </c>
      <c r="D283" s="2" t="s">
        <v>661</v>
      </c>
      <c r="E283" s="2" t="s">
        <v>662</v>
      </c>
      <c r="F283" s="2" t="s">
        <v>496</v>
      </c>
      <c r="G283" s="2">
        <v>2</v>
      </c>
      <c r="H283" s="2" t="str">
        <f>Configuracion!$B$2</f>
        <v>ON</v>
      </c>
      <c r="I283" s="4">
        <f>Configuracion!$B$3</f>
        <v>0.15</v>
      </c>
      <c r="J283" s="2" t="str">
        <f>IF(UPPER(Configuracion!$B$2)="ON",Configuracion!$B$4,"")</f>
        <v>follow+like+comenta=15%</v>
      </c>
      <c r="K283" s="3">
        <f>IF(UPPER(Configuracion!$B$2)="ON",ROUND(C283*(1-Configuracion!$B$3),0),ROUND(C283,0))</f>
        <v>106</v>
      </c>
    </row>
    <row r="284" spans="1:11" x14ac:dyDescent="0.35">
      <c r="A284" s="2">
        <v>283</v>
      </c>
      <c r="B284" s="2" t="s">
        <v>663</v>
      </c>
      <c r="C284" s="3">
        <v>125</v>
      </c>
      <c r="D284" s="2" t="s">
        <v>664</v>
      </c>
      <c r="E284" s="2" t="s">
        <v>665</v>
      </c>
      <c r="F284" s="2" t="s">
        <v>496</v>
      </c>
      <c r="G284" s="2">
        <v>2</v>
      </c>
      <c r="H284" s="2" t="str">
        <f>Configuracion!$B$2</f>
        <v>ON</v>
      </c>
      <c r="I284" s="4">
        <f>Configuracion!$B$3</f>
        <v>0.15</v>
      </c>
      <c r="J284" s="2" t="str">
        <f>IF(UPPER(Configuracion!$B$2)="ON",Configuracion!$B$4,"")</f>
        <v>follow+like+comenta=15%</v>
      </c>
      <c r="K284" s="3">
        <f>IF(UPPER(Configuracion!$B$2)="ON",ROUND(C284*(1-Configuracion!$B$3),0),ROUND(C284,0))</f>
        <v>106</v>
      </c>
    </row>
    <row r="285" spans="1:11" x14ac:dyDescent="0.35">
      <c r="A285" s="2">
        <v>284</v>
      </c>
      <c r="B285" s="2" t="s">
        <v>666</v>
      </c>
      <c r="C285" s="3">
        <v>110</v>
      </c>
      <c r="D285" s="2" t="s">
        <v>667</v>
      </c>
      <c r="E285" s="2" t="s">
        <v>668</v>
      </c>
      <c r="F285" s="2" t="s">
        <v>496</v>
      </c>
      <c r="G285" s="2">
        <v>4</v>
      </c>
      <c r="H285" s="2" t="str">
        <f>Configuracion!$B$2</f>
        <v>ON</v>
      </c>
      <c r="I285" s="4">
        <f>Configuracion!$B$3</f>
        <v>0.15</v>
      </c>
      <c r="J285" s="2" t="str">
        <f>IF(UPPER(Configuracion!$B$2)="ON",Configuracion!$B$4,"")</f>
        <v>follow+like+comenta=15%</v>
      </c>
      <c r="K285" s="3">
        <f>IF(UPPER(Configuracion!$B$2)="ON",ROUND(C285*(1-Configuracion!$B$3),0),ROUND(C285,0))</f>
        <v>94</v>
      </c>
    </row>
    <row r="286" spans="1:11" ht="12.9" customHeight="1" x14ac:dyDescent="0.35">
      <c r="A286" s="2">
        <v>285</v>
      </c>
      <c r="B286" s="2" t="s">
        <v>669</v>
      </c>
      <c r="C286" s="3">
        <v>110</v>
      </c>
      <c r="D286" s="2" t="s">
        <v>670</v>
      </c>
      <c r="E286" s="2" t="s">
        <v>671</v>
      </c>
      <c r="F286" s="2" t="s">
        <v>496</v>
      </c>
      <c r="G286" s="2">
        <v>4</v>
      </c>
      <c r="H286" s="2" t="str">
        <f>Configuracion!$B$2</f>
        <v>ON</v>
      </c>
      <c r="I286" s="4">
        <f>Configuracion!$B$3</f>
        <v>0.15</v>
      </c>
      <c r="J286" s="2" t="str">
        <f>IF(UPPER(Configuracion!$B$2)="ON",Configuracion!$B$4,"")</f>
        <v>follow+like+comenta=15%</v>
      </c>
      <c r="K286" s="3">
        <f>IF(UPPER(Configuracion!$B$2)="ON",ROUND(C286*(1-Configuracion!$B$3),0),ROUND(C286,0))</f>
        <v>94</v>
      </c>
    </row>
    <row r="287" spans="1:11" x14ac:dyDescent="0.35">
      <c r="A287" s="2">
        <v>286</v>
      </c>
      <c r="B287" s="2" t="s">
        <v>672</v>
      </c>
      <c r="C287" s="3">
        <v>105</v>
      </c>
      <c r="D287" s="2" t="s">
        <v>673</v>
      </c>
      <c r="E287" s="2" t="s">
        <v>674</v>
      </c>
      <c r="F287" s="2" t="s">
        <v>496</v>
      </c>
      <c r="G287" s="2">
        <v>4</v>
      </c>
      <c r="H287" s="2" t="str">
        <f>Configuracion!$B$2</f>
        <v>ON</v>
      </c>
      <c r="I287" s="4">
        <f>Configuracion!$B$3</f>
        <v>0.15</v>
      </c>
      <c r="J287" s="2" t="str">
        <f>IF(UPPER(Configuracion!$B$2)="ON",Configuracion!$B$4,"")</f>
        <v>follow+like+comenta=15%</v>
      </c>
      <c r="K287" s="3">
        <f>IF(UPPER(Configuracion!$B$2)="ON",ROUND(C287*(1-Configuracion!$B$3),0),ROUND(C287,0))</f>
        <v>89</v>
      </c>
    </row>
    <row r="288" spans="1:11" x14ac:dyDescent="0.35">
      <c r="A288" s="2">
        <v>287</v>
      </c>
      <c r="B288" s="2" t="s">
        <v>675</v>
      </c>
      <c r="C288" s="3">
        <v>180</v>
      </c>
      <c r="D288" s="2" t="s">
        <v>676</v>
      </c>
      <c r="E288" s="2" t="s">
        <v>677</v>
      </c>
      <c r="F288" s="2" t="s">
        <v>496</v>
      </c>
      <c r="G288" s="2">
        <v>1</v>
      </c>
      <c r="H288" s="2" t="str">
        <f>Configuracion!$B$2</f>
        <v>ON</v>
      </c>
      <c r="I288" s="4">
        <f>Configuracion!$B$3</f>
        <v>0.15</v>
      </c>
      <c r="J288" s="2" t="str">
        <f>IF(UPPER(Configuracion!$B$2)="ON",Configuracion!$B$4,"")</f>
        <v>follow+like+comenta=15%</v>
      </c>
      <c r="K288" s="3">
        <f>IF(UPPER(Configuracion!$B$2)="ON",ROUND(C288*(1-Configuracion!$B$3),0),ROUND(C288,0))</f>
        <v>153</v>
      </c>
    </row>
    <row r="289" spans="1:11" x14ac:dyDescent="0.35">
      <c r="A289" s="2">
        <v>288</v>
      </c>
      <c r="B289" s="2" t="s">
        <v>678</v>
      </c>
      <c r="C289" s="3">
        <v>180</v>
      </c>
      <c r="D289" s="2" t="s">
        <v>679</v>
      </c>
      <c r="E289" s="2" t="s">
        <v>680</v>
      </c>
      <c r="F289" s="2" t="s">
        <v>496</v>
      </c>
      <c r="G289" s="2">
        <v>2</v>
      </c>
      <c r="H289" s="2" t="str">
        <f>Configuracion!$B$2</f>
        <v>ON</v>
      </c>
      <c r="I289" s="4">
        <f>Configuracion!$B$3</f>
        <v>0.15</v>
      </c>
      <c r="J289" s="2" t="str">
        <f>IF(UPPER(Configuracion!$B$2)="ON",Configuracion!$B$4,"")</f>
        <v>follow+like+comenta=15%</v>
      </c>
      <c r="K289" s="3">
        <f>IF(UPPER(Configuracion!$B$2)="ON",ROUND(C289*(1-Configuracion!$B$3),0),ROUND(C289,0))</f>
        <v>153</v>
      </c>
    </row>
    <row r="290" spans="1:11" ht="12.9" customHeight="1" x14ac:dyDescent="0.35">
      <c r="A290" s="2">
        <v>289</v>
      </c>
      <c r="B290" s="2" t="s">
        <v>681</v>
      </c>
      <c r="C290" s="3">
        <v>180</v>
      </c>
      <c r="D290" s="2" t="s">
        <v>682</v>
      </c>
      <c r="E290" s="2" t="s">
        <v>683</v>
      </c>
      <c r="F290" s="2" t="s">
        <v>496</v>
      </c>
      <c r="G290" s="2">
        <v>1</v>
      </c>
      <c r="H290" s="2" t="str">
        <f>Configuracion!$B$2</f>
        <v>ON</v>
      </c>
      <c r="I290" s="4">
        <f>Configuracion!$B$3</f>
        <v>0.15</v>
      </c>
      <c r="J290" s="2" t="str">
        <f>IF(UPPER(Configuracion!$B$2)="ON",Configuracion!$B$4,"")</f>
        <v>follow+like+comenta=15%</v>
      </c>
      <c r="K290" s="3">
        <f>IF(UPPER(Configuracion!$B$2)="ON",ROUND(C290*(1-Configuracion!$B$3),0),ROUND(C290,0))</f>
        <v>153</v>
      </c>
    </row>
    <row r="291" spans="1:11" x14ac:dyDescent="0.35">
      <c r="A291" s="2">
        <v>290</v>
      </c>
      <c r="B291" s="2" t="s">
        <v>684</v>
      </c>
      <c r="C291" s="3">
        <v>180</v>
      </c>
      <c r="D291" s="2" t="s">
        <v>685</v>
      </c>
      <c r="E291" s="2" t="s">
        <v>686</v>
      </c>
      <c r="F291" s="2" t="s">
        <v>496</v>
      </c>
      <c r="G291" s="2">
        <v>2</v>
      </c>
      <c r="H291" s="2" t="str">
        <f>Configuracion!$B$2</f>
        <v>ON</v>
      </c>
      <c r="I291" s="4">
        <f>Configuracion!$B$3</f>
        <v>0.15</v>
      </c>
      <c r="J291" s="2" t="str">
        <f>IF(UPPER(Configuracion!$B$2)="ON",Configuracion!$B$4,"")</f>
        <v>follow+like+comenta=15%</v>
      </c>
      <c r="K291" s="3">
        <f>IF(UPPER(Configuracion!$B$2)="ON",ROUND(C291*(1-Configuracion!$B$3),0),ROUND(C291,0))</f>
        <v>153</v>
      </c>
    </row>
    <row r="292" spans="1:11" x14ac:dyDescent="0.35">
      <c r="A292" s="2">
        <v>291</v>
      </c>
      <c r="B292" s="2" t="s">
        <v>687</v>
      </c>
      <c r="C292" s="3">
        <v>155</v>
      </c>
      <c r="D292" s="2" t="s">
        <v>688</v>
      </c>
      <c r="E292" s="2" t="s">
        <v>689</v>
      </c>
      <c r="F292" s="2" t="s">
        <v>496</v>
      </c>
      <c r="G292" s="2">
        <v>1</v>
      </c>
      <c r="H292" s="2" t="str">
        <f>Configuracion!$B$2</f>
        <v>ON</v>
      </c>
      <c r="I292" s="4">
        <f>Configuracion!$B$3</f>
        <v>0.15</v>
      </c>
      <c r="J292" s="2" t="str">
        <f>IF(UPPER(Configuracion!$B$2)="ON",Configuracion!$B$4,"")</f>
        <v>follow+like+comenta=15%</v>
      </c>
      <c r="K292" s="3">
        <f>IF(UPPER(Configuracion!$B$2)="ON",ROUND(C292*(1-Configuracion!$B$3),0),ROUND(C292,0))</f>
        <v>132</v>
      </c>
    </row>
    <row r="293" spans="1:11" x14ac:dyDescent="0.35">
      <c r="A293" s="2">
        <v>292</v>
      </c>
      <c r="B293" s="2" t="s">
        <v>690</v>
      </c>
      <c r="C293" s="3">
        <v>155</v>
      </c>
      <c r="D293" s="2" t="s">
        <v>691</v>
      </c>
      <c r="E293" s="2" t="s">
        <v>692</v>
      </c>
      <c r="F293" s="2" t="s">
        <v>496</v>
      </c>
      <c r="G293" s="2">
        <v>1</v>
      </c>
      <c r="H293" s="2" t="str">
        <f>Configuracion!$B$2</f>
        <v>ON</v>
      </c>
      <c r="I293" s="4">
        <f>Configuracion!$B$3</f>
        <v>0.15</v>
      </c>
      <c r="J293" s="2" t="str">
        <f>IF(UPPER(Configuracion!$B$2)="ON",Configuracion!$B$4,"")</f>
        <v>follow+like+comenta=15%</v>
      </c>
      <c r="K293" s="3">
        <f>IF(UPPER(Configuracion!$B$2)="ON",ROUND(C293*(1-Configuracion!$B$3),0),ROUND(C293,0))</f>
        <v>132</v>
      </c>
    </row>
    <row r="294" spans="1:11" x14ac:dyDescent="0.35">
      <c r="A294" s="2">
        <v>293</v>
      </c>
      <c r="B294" s="2" t="s">
        <v>693</v>
      </c>
      <c r="C294" s="3">
        <v>110</v>
      </c>
      <c r="D294" s="2" t="s">
        <v>694</v>
      </c>
      <c r="E294" s="2" t="s">
        <v>695</v>
      </c>
      <c r="F294" s="2" t="s">
        <v>496</v>
      </c>
      <c r="G294" s="2">
        <v>2</v>
      </c>
      <c r="H294" s="2" t="str">
        <f>Configuracion!$B$2</f>
        <v>ON</v>
      </c>
      <c r="I294" s="4">
        <f>Configuracion!$B$3</f>
        <v>0.15</v>
      </c>
      <c r="J294" s="2" t="str">
        <f>IF(UPPER(Configuracion!$B$2)="ON",Configuracion!$B$4,"")</f>
        <v>follow+like+comenta=15%</v>
      </c>
      <c r="K294" s="3">
        <f>IF(UPPER(Configuracion!$B$2)="ON",ROUND(C294*(1-Configuracion!$B$3),0),ROUND(C294,0))</f>
        <v>94</v>
      </c>
    </row>
    <row r="295" spans="1:11" ht="12.9" customHeight="1" x14ac:dyDescent="0.35">
      <c r="A295" s="2">
        <v>294</v>
      </c>
      <c r="B295" s="2" t="s">
        <v>696</v>
      </c>
      <c r="C295" s="3">
        <v>110</v>
      </c>
      <c r="D295" s="2" t="s">
        <v>697</v>
      </c>
      <c r="E295" s="2" t="s">
        <v>698</v>
      </c>
      <c r="F295" s="2" t="s">
        <v>496</v>
      </c>
      <c r="G295" s="2">
        <v>2</v>
      </c>
      <c r="H295" s="2" t="str">
        <f>Configuracion!$B$2</f>
        <v>ON</v>
      </c>
      <c r="I295" s="4">
        <f>Configuracion!$B$3</f>
        <v>0.15</v>
      </c>
      <c r="J295" s="2" t="str">
        <f>IF(UPPER(Configuracion!$B$2)="ON",Configuracion!$B$4,"")</f>
        <v>follow+like+comenta=15%</v>
      </c>
      <c r="K295" s="3">
        <f>IF(UPPER(Configuracion!$B$2)="ON",ROUND(C295*(1-Configuracion!$B$3),0),ROUND(C295,0))</f>
        <v>94</v>
      </c>
    </row>
    <row r="296" spans="1:11" x14ac:dyDescent="0.35">
      <c r="A296" s="2">
        <v>295</v>
      </c>
      <c r="B296" s="2" t="s">
        <v>699</v>
      </c>
      <c r="C296" s="3">
        <v>105</v>
      </c>
      <c r="D296" s="2" t="s">
        <v>700</v>
      </c>
      <c r="E296" s="2" t="s">
        <v>701</v>
      </c>
      <c r="F296" s="2" t="s">
        <v>496</v>
      </c>
      <c r="G296" s="2">
        <v>1</v>
      </c>
      <c r="H296" s="2" t="str">
        <f>Configuracion!$B$2</f>
        <v>ON</v>
      </c>
      <c r="I296" s="4">
        <f>Configuracion!$B$3</f>
        <v>0.15</v>
      </c>
      <c r="J296" s="2" t="str">
        <f>IF(UPPER(Configuracion!$B$2)="ON",Configuracion!$B$4,"")</f>
        <v>follow+like+comenta=15%</v>
      </c>
      <c r="K296" s="3">
        <f>IF(UPPER(Configuracion!$B$2)="ON",ROUND(C296*(1-Configuracion!$B$3),0),ROUND(C296,0))</f>
        <v>89</v>
      </c>
    </row>
    <row r="297" spans="1:11" x14ac:dyDescent="0.35">
      <c r="A297" s="2">
        <v>296</v>
      </c>
      <c r="B297" s="2" t="s">
        <v>702</v>
      </c>
      <c r="C297" s="3">
        <v>105</v>
      </c>
      <c r="D297" s="2" t="s">
        <v>703</v>
      </c>
      <c r="E297" s="2" t="s">
        <v>704</v>
      </c>
      <c r="F297" s="2" t="s">
        <v>496</v>
      </c>
      <c r="G297" s="2">
        <v>1</v>
      </c>
      <c r="H297" s="2" t="str">
        <f>Configuracion!$B$2</f>
        <v>ON</v>
      </c>
      <c r="I297" s="4">
        <f>Configuracion!$B$3</f>
        <v>0.15</v>
      </c>
      <c r="J297" s="2" t="str">
        <f>IF(UPPER(Configuracion!$B$2)="ON",Configuracion!$B$4,"")</f>
        <v>follow+like+comenta=15%</v>
      </c>
      <c r="K297" s="3">
        <f>IF(UPPER(Configuracion!$B$2)="ON",ROUND(C297*(1-Configuracion!$B$3),0),ROUND(C297,0))</f>
        <v>89</v>
      </c>
    </row>
    <row r="298" spans="1:11" x14ac:dyDescent="0.35">
      <c r="A298" s="2">
        <v>297</v>
      </c>
      <c r="B298" s="2" t="s">
        <v>705</v>
      </c>
      <c r="C298" s="3">
        <v>105</v>
      </c>
      <c r="D298" s="2" t="s">
        <v>706</v>
      </c>
      <c r="E298" s="2" t="s">
        <v>707</v>
      </c>
      <c r="F298" s="2" t="s">
        <v>496</v>
      </c>
      <c r="G298" s="2">
        <v>1</v>
      </c>
      <c r="H298" s="2" t="str">
        <f>Configuracion!$B$2</f>
        <v>ON</v>
      </c>
      <c r="I298" s="4">
        <f>Configuracion!$B$3</f>
        <v>0.15</v>
      </c>
      <c r="J298" s="2" t="str">
        <f>IF(UPPER(Configuracion!$B$2)="ON",Configuracion!$B$4,"")</f>
        <v>follow+like+comenta=15%</v>
      </c>
      <c r="K298" s="3">
        <f>IF(UPPER(Configuracion!$B$2)="ON",ROUND(C298*(1-Configuracion!$B$3),0),ROUND(C298,0))</f>
        <v>89</v>
      </c>
    </row>
    <row r="299" spans="1:11" x14ac:dyDescent="0.35">
      <c r="A299" s="2">
        <v>298</v>
      </c>
      <c r="B299" s="2" t="s">
        <v>708</v>
      </c>
      <c r="C299" s="3">
        <v>90</v>
      </c>
      <c r="D299" s="2" t="s">
        <v>709</v>
      </c>
      <c r="E299" s="2" t="s">
        <v>710</v>
      </c>
      <c r="F299" s="2" t="s">
        <v>496</v>
      </c>
      <c r="G299" s="2">
        <v>1</v>
      </c>
      <c r="H299" s="2" t="str">
        <f>Configuracion!$B$2</f>
        <v>ON</v>
      </c>
      <c r="I299" s="4">
        <f>Configuracion!$B$3</f>
        <v>0.15</v>
      </c>
      <c r="J299" s="2" t="str">
        <f>IF(UPPER(Configuracion!$B$2)="ON",Configuracion!$B$4,"")</f>
        <v>follow+like+comenta=15%</v>
      </c>
      <c r="K299" s="3">
        <f>IF(UPPER(Configuracion!$B$2)="ON",ROUND(C299*(1-Configuracion!$B$3),0),ROUND(C299,0))</f>
        <v>77</v>
      </c>
    </row>
    <row r="300" spans="1:11" ht="12.9" customHeight="1" x14ac:dyDescent="0.35">
      <c r="A300" s="2">
        <v>299</v>
      </c>
      <c r="B300" s="2" t="s">
        <v>711</v>
      </c>
      <c r="C300" s="3">
        <v>90</v>
      </c>
      <c r="D300" s="2" t="s">
        <v>712</v>
      </c>
      <c r="E300" s="2" t="s">
        <v>713</v>
      </c>
      <c r="F300" s="2" t="s">
        <v>496</v>
      </c>
      <c r="G300" s="2">
        <v>2</v>
      </c>
      <c r="H300" s="2" t="str">
        <f>Configuracion!$B$2</f>
        <v>ON</v>
      </c>
      <c r="I300" s="4">
        <f>Configuracion!$B$3</f>
        <v>0.15</v>
      </c>
      <c r="J300" s="2" t="str">
        <f>IF(UPPER(Configuracion!$B$2)="ON",Configuracion!$B$4,"")</f>
        <v>follow+like+comenta=15%</v>
      </c>
      <c r="K300" s="3">
        <f>IF(UPPER(Configuracion!$B$2)="ON",ROUND(C300*(1-Configuracion!$B$3),0),ROUND(C300,0))</f>
        <v>77</v>
      </c>
    </row>
    <row r="301" spans="1:11" ht="12.9" customHeight="1" x14ac:dyDescent="0.35">
      <c r="A301" s="2">
        <v>300</v>
      </c>
      <c r="B301" s="2" t="s">
        <v>714</v>
      </c>
      <c r="C301" s="3">
        <v>90</v>
      </c>
      <c r="D301" s="2" t="s">
        <v>715</v>
      </c>
      <c r="E301" s="2" t="s">
        <v>716</v>
      </c>
      <c r="F301" s="2" t="s">
        <v>496</v>
      </c>
      <c r="G301" s="2">
        <v>1</v>
      </c>
      <c r="H301" s="2" t="str">
        <f>Configuracion!$B$2</f>
        <v>ON</v>
      </c>
      <c r="I301" s="4">
        <f>Configuracion!$B$3</f>
        <v>0.15</v>
      </c>
      <c r="J301" s="2" t="str">
        <f>IF(UPPER(Configuracion!$B$2)="ON",Configuracion!$B$4,"")</f>
        <v>follow+like+comenta=15%</v>
      </c>
      <c r="K301" s="3">
        <f>IF(UPPER(Configuracion!$B$2)="ON",ROUND(C301*(1-Configuracion!$B$3),0),ROUND(C301,0))</f>
        <v>77</v>
      </c>
    </row>
    <row r="302" spans="1:11" ht="12.9" customHeight="1" x14ac:dyDescent="0.35">
      <c r="A302" s="2">
        <v>301</v>
      </c>
      <c r="B302" s="2" t="s">
        <v>717</v>
      </c>
      <c r="C302" s="3">
        <v>100</v>
      </c>
      <c r="D302" s="2" t="s">
        <v>718</v>
      </c>
      <c r="E302" s="2" t="s">
        <v>719</v>
      </c>
      <c r="F302" s="2" t="s">
        <v>496</v>
      </c>
      <c r="G302" s="2">
        <v>7</v>
      </c>
      <c r="H302" s="2" t="str">
        <f>Configuracion!$B$2</f>
        <v>ON</v>
      </c>
      <c r="I302" s="4">
        <f>Configuracion!$B$3</f>
        <v>0.15</v>
      </c>
      <c r="J302" s="2" t="str">
        <f>IF(UPPER(Configuracion!$B$2)="ON",Configuracion!$B$4,"")</f>
        <v>follow+like+comenta=15%</v>
      </c>
      <c r="K302" s="3">
        <f>IF(UPPER(Configuracion!$B$2)="ON",ROUND(C302*(1-Configuracion!$B$3),0),ROUND(C302,0))</f>
        <v>85</v>
      </c>
    </row>
    <row r="303" spans="1:11" ht="12.9" customHeight="1" x14ac:dyDescent="0.35">
      <c r="A303" s="2">
        <v>302</v>
      </c>
      <c r="B303" s="2" t="s">
        <v>720</v>
      </c>
      <c r="C303" s="3">
        <v>100</v>
      </c>
      <c r="D303" s="2" t="s">
        <v>721</v>
      </c>
      <c r="E303" s="2" t="s">
        <v>722</v>
      </c>
      <c r="F303" s="2" t="s">
        <v>496</v>
      </c>
      <c r="G303" s="2">
        <v>6</v>
      </c>
      <c r="H303" s="2" t="str">
        <f>Configuracion!$B$2</f>
        <v>ON</v>
      </c>
      <c r="I303" s="4">
        <f>Configuracion!$B$3</f>
        <v>0.15</v>
      </c>
      <c r="J303" s="2" t="str">
        <f>IF(UPPER(Configuracion!$B$2)="ON",Configuracion!$B$4,"")</f>
        <v>follow+like+comenta=15%</v>
      </c>
      <c r="K303" s="3">
        <f>IF(UPPER(Configuracion!$B$2)="ON",ROUND(C303*(1-Configuracion!$B$3),0),ROUND(C303,0))</f>
        <v>85</v>
      </c>
    </row>
    <row r="304" spans="1:11" ht="12.9" customHeight="1" x14ac:dyDescent="0.35">
      <c r="A304" s="2">
        <v>303</v>
      </c>
      <c r="B304" s="2" t="s">
        <v>723</v>
      </c>
      <c r="C304" s="3">
        <v>100</v>
      </c>
      <c r="D304" s="2" t="s">
        <v>724</v>
      </c>
      <c r="E304" s="2" t="s">
        <v>725</v>
      </c>
      <c r="F304" s="2" t="s">
        <v>496</v>
      </c>
      <c r="G304" s="2">
        <v>7</v>
      </c>
      <c r="H304" s="2" t="str">
        <f>Configuracion!$B$2</f>
        <v>ON</v>
      </c>
      <c r="I304" s="4">
        <f>Configuracion!$B$3</f>
        <v>0.15</v>
      </c>
      <c r="J304" s="2" t="str">
        <f>IF(UPPER(Configuracion!$B$2)="ON",Configuracion!$B$4,"")</f>
        <v>follow+like+comenta=15%</v>
      </c>
      <c r="K304" s="3">
        <f>IF(UPPER(Configuracion!$B$2)="ON",ROUND(C304*(1-Configuracion!$B$3),0),ROUND(C304,0))</f>
        <v>85</v>
      </c>
    </row>
    <row r="305" spans="1:11" ht="12.9" customHeight="1" x14ac:dyDescent="0.35">
      <c r="A305" s="2">
        <v>304</v>
      </c>
      <c r="B305" s="2" t="s">
        <v>726</v>
      </c>
      <c r="C305" s="3">
        <v>100</v>
      </c>
      <c r="D305" s="2" t="s">
        <v>727</v>
      </c>
      <c r="E305" s="2" t="s">
        <v>728</v>
      </c>
      <c r="F305" s="2" t="s">
        <v>496</v>
      </c>
      <c r="G305" s="2">
        <v>7</v>
      </c>
      <c r="H305" s="2" t="str">
        <f>Configuracion!$B$2</f>
        <v>ON</v>
      </c>
      <c r="I305" s="4">
        <f>Configuracion!$B$3</f>
        <v>0.15</v>
      </c>
      <c r="J305" s="2" t="str">
        <f>IF(UPPER(Configuracion!$B$2)="ON",Configuracion!$B$4,"")</f>
        <v>follow+like+comenta=15%</v>
      </c>
      <c r="K305" s="3">
        <f>IF(UPPER(Configuracion!$B$2)="ON",ROUND(C305*(1-Configuracion!$B$3),0),ROUND(C305,0))</f>
        <v>85</v>
      </c>
    </row>
    <row r="306" spans="1:11" x14ac:dyDescent="0.35">
      <c r="A306" s="2">
        <v>305</v>
      </c>
      <c r="B306" s="2" t="s">
        <v>729</v>
      </c>
      <c r="C306" s="3">
        <v>100</v>
      </c>
      <c r="D306" s="2" t="s">
        <v>730</v>
      </c>
      <c r="E306" s="2" t="s">
        <v>731</v>
      </c>
      <c r="F306" s="2" t="s">
        <v>496</v>
      </c>
      <c r="G306" s="2">
        <v>5</v>
      </c>
      <c r="H306" s="2" t="str">
        <f>Configuracion!$B$2</f>
        <v>ON</v>
      </c>
      <c r="I306" s="4">
        <f>Configuracion!$B$3</f>
        <v>0.15</v>
      </c>
      <c r="J306" s="2" t="str">
        <f>IF(UPPER(Configuracion!$B$2)="ON",Configuracion!$B$4,"")</f>
        <v>follow+like+comenta=15%</v>
      </c>
      <c r="K306" s="3">
        <f>IF(UPPER(Configuracion!$B$2)="ON",ROUND(C306*(1-Configuracion!$B$3),0),ROUND(C306,0))</f>
        <v>85</v>
      </c>
    </row>
    <row r="307" spans="1:11" ht="12.9" customHeight="1" x14ac:dyDescent="0.35">
      <c r="A307" s="2">
        <v>306</v>
      </c>
      <c r="B307" s="2" t="s">
        <v>732</v>
      </c>
      <c r="C307" s="3">
        <v>100</v>
      </c>
      <c r="D307" s="2" t="s">
        <v>733</v>
      </c>
      <c r="E307" s="2" t="s">
        <v>734</v>
      </c>
      <c r="F307" s="2" t="s">
        <v>496</v>
      </c>
      <c r="G307" s="2">
        <v>8</v>
      </c>
      <c r="H307" s="2" t="str">
        <f>Configuracion!$B$2</f>
        <v>ON</v>
      </c>
      <c r="I307" s="4">
        <f>Configuracion!$B$3</f>
        <v>0.15</v>
      </c>
      <c r="J307" s="2" t="str">
        <f>IF(UPPER(Configuracion!$B$2)="ON",Configuracion!$B$4,"")</f>
        <v>follow+like+comenta=15%</v>
      </c>
      <c r="K307" s="3">
        <f>IF(UPPER(Configuracion!$B$2)="ON",ROUND(C307*(1-Configuracion!$B$3),0),ROUND(C307,0))</f>
        <v>85</v>
      </c>
    </row>
    <row r="308" spans="1:11" x14ac:dyDescent="0.35">
      <c r="A308" s="2">
        <v>307</v>
      </c>
      <c r="B308" s="2" t="s">
        <v>735</v>
      </c>
      <c r="C308" s="3">
        <v>100</v>
      </c>
      <c r="D308" s="2" t="s">
        <v>736</v>
      </c>
      <c r="E308" s="2" t="s">
        <v>737</v>
      </c>
      <c r="F308" s="2" t="s">
        <v>496</v>
      </c>
      <c r="G308" s="2">
        <v>10</v>
      </c>
      <c r="H308" s="2" t="str">
        <f>Configuracion!$B$2</f>
        <v>ON</v>
      </c>
      <c r="I308" s="4">
        <f>Configuracion!$B$3</f>
        <v>0.15</v>
      </c>
      <c r="J308" s="2" t="str">
        <f>IF(UPPER(Configuracion!$B$2)="ON",Configuracion!$B$4,"")</f>
        <v>follow+like+comenta=15%</v>
      </c>
      <c r="K308" s="3">
        <f>IF(UPPER(Configuracion!$B$2)="ON",ROUND(C308*(1-Configuracion!$B$3),0),ROUND(C308,0))</f>
        <v>85</v>
      </c>
    </row>
    <row r="309" spans="1:11" x14ac:dyDescent="0.35">
      <c r="A309" s="2">
        <v>308</v>
      </c>
      <c r="B309" s="2" t="s">
        <v>738</v>
      </c>
      <c r="C309" s="3">
        <v>120</v>
      </c>
      <c r="D309" s="2" t="s">
        <v>739</v>
      </c>
      <c r="E309" s="2" t="s">
        <v>740</v>
      </c>
      <c r="F309" s="2" t="s">
        <v>496</v>
      </c>
      <c r="G309" s="2">
        <v>25</v>
      </c>
      <c r="H309" s="2" t="str">
        <f>Configuracion!$B$2</f>
        <v>ON</v>
      </c>
      <c r="I309" s="4">
        <f>Configuracion!$B$3</f>
        <v>0.15</v>
      </c>
      <c r="J309" s="2" t="str">
        <f>IF(UPPER(Configuracion!$B$2)="ON",Configuracion!$B$4,"")</f>
        <v>follow+like+comenta=15%</v>
      </c>
      <c r="K309" s="3">
        <f>IF(UPPER(Configuracion!$B$2)="ON",ROUND(C309*(1-Configuracion!$B$3),0),ROUND(C309,0))</f>
        <v>102</v>
      </c>
    </row>
    <row r="310" spans="1:11" x14ac:dyDescent="0.35">
      <c r="A310" s="2">
        <v>309</v>
      </c>
      <c r="B310" s="2" t="s">
        <v>741</v>
      </c>
      <c r="C310" s="3">
        <v>120</v>
      </c>
      <c r="D310" s="2" t="s">
        <v>742</v>
      </c>
      <c r="E310" s="2" t="s">
        <v>743</v>
      </c>
      <c r="F310" s="2" t="s">
        <v>496</v>
      </c>
      <c r="G310" s="2">
        <v>16</v>
      </c>
      <c r="H310" s="2" t="str">
        <f>Configuracion!$B$2</f>
        <v>ON</v>
      </c>
      <c r="I310" s="4">
        <f>Configuracion!$B$3</f>
        <v>0.15</v>
      </c>
      <c r="J310" s="2" t="str">
        <f>IF(UPPER(Configuracion!$B$2)="ON",Configuracion!$B$4,"")</f>
        <v>follow+like+comenta=15%</v>
      </c>
      <c r="K310" s="3">
        <f>IF(UPPER(Configuracion!$B$2)="ON",ROUND(C310*(1-Configuracion!$B$3),0),ROUND(C310,0))</f>
        <v>102</v>
      </c>
    </row>
    <row r="311" spans="1:11" x14ac:dyDescent="0.35">
      <c r="A311" s="2">
        <v>310</v>
      </c>
      <c r="B311" s="2" t="s">
        <v>744</v>
      </c>
      <c r="C311" s="3">
        <v>120</v>
      </c>
      <c r="D311" s="2" t="s">
        <v>745</v>
      </c>
      <c r="E311" s="2" t="s">
        <v>746</v>
      </c>
      <c r="F311" s="2" t="s">
        <v>496</v>
      </c>
      <c r="G311" s="2">
        <v>8</v>
      </c>
      <c r="H311" s="2" t="str">
        <f>Configuracion!$B$2</f>
        <v>ON</v>
      </c>
      <c r="I311" s="4">
        <f>Configuracion!$B$3</f>
        <v>0.15</v>
      </c>
      <c r="J311" s="2" t="str">
        <f>IF(UPPER(Configuracion!$B$2)="ON",Configuracion!$B$4,"")</f>
        <v>follow+like+comenta=15%</v>
      </c>
      <c r="K311" s="3">
        <f>IF(UPPER(Configuracion!$B$2)="ON",ROUND(C311*(1-Configuracion!$B$3),0),ROUND(C311,0))</f>
        <v>102</v>
      </c>
    </row>
    <row r="312" spans="1:11" ht="12.9" customHeight="1" x14ac:dyDescent="0.35">
      <c r="A312" s="2">
        <v>311</v>
      </c>
      <c r="B312" s="2" t="s">
        <v>747</v>
      </c>
      <c r="C312" s="3">
        <v>125</v>
      </c>
      <c r="D312" s="2" t="s">
        <v>748</v>
      </c>
      <c r="E312" s="2" t="s">
        <v>749</v>
      </c>
      <c r="F312" s="2" t="s">
        <v>750</v>
      </c>
      <c r="G312" s="2">
        <v>40</v>
      </c>
      <c r="H312" s="2" t="str">
        <f>Configuracion!$B$2</f>
        <v>ON</v>
      </c>
      <c r="I312" s="4">
        <f>Configuracion!$B$3</f>
        <v>0.15</v>
      </c>
      <c r="J312" s="2" t="str">
        <f>IF(UPPER(Configuracion!$B$2)="ON",Configuracion!$B$4,"")</f>
        <v>follow+like+comenta=15%</v>
      </c>
      <c r="K312" s="3">
        <f>IF(UPPER(Configuracion!$B$2)="ON",ROUND(C312*(1-Configuracion!$B$3),0),ROUND(C312,0))</f>
        <v>106</v>
      </c>
    </row>
    <row r="313" spans="1:11" ht="12.9" customHeight="1" x14ac:dyDescent="0.35">
      <c r="A313" s="2">
        <v>312</v>
      </c>
      <c r="B313" s="2" t="s">
        <v>751</v>
      </c>
      <c r="C313" s="3">
        <v>125</v>
      </c>
      <c r="D313" s="2" t="s">
        <v>752</v>
      </c>
      <c r="E313" s="2" t="s">
        <v>753</v>
      </c>
      <c r="F313" s="2" t="s">
        <v>750</v>
      </c>
      <c r="G313" s="2">
        <v>40</v>
      </c>
      <c r="H313" s="2" t="str">
        <f>Configuracion!$B$2</f>
        <v>ON</v>
      </c>
      <c r="I313" s="4">
        <f>Configuracion!$B$3</f>
        <v>0.15</v>
      </c>
      <c r="J313" s="2" t="str">
        <f>IF(UPPER(Configuracion!$B$2)="ON",Configuracion!$B$4,"")</f>
        <v>follow+like+comenta=15%</v>
      </c>
      <c r="K313" s="3">
        <f>IF(UPPER(Configuracion!$B$2)="ON",ROUND(C313*(1-Configuracion!$B$3),0),ROUND(C313,0))</f>
        <v>106</v>
      </c>
    </row>
    <row r="314" spans="1:11" x14ac:dyDescent="0.35">
      <c r="A314" s="2">
        <v>313</v>
      </c>
      <c r="B314" s="2" t="s">
        <v>754</v>
      </c>
      <c r="C314" s="3">
        <v>75</v>
      </c>
      <c r="D314" s="2" t="s">
        <v>755</v>
      </c>
      <c r="E314" s="2" t="s">
        <v>756</v>
      </c>
      <c r="F314" s="2" t="s">
        <v>750</v>
      </c>
      <c r="G314" s="2">
        <v>10</v>
      </c>
      <c r="H314" s="2" t="str">
        <f>Configuracion!$B$2</f>
        <v>ON</v>
      </c>
      <c r="I314" s="4">
        <f>Configuracion!$B$3</f>
        <v>0.15</v>
      </c>
      <c r="J314" s="2" t="str">
        <f>IF(UPPER(Configuracion!$B$2)="ON",Configuracion!$B$4,"")</f>
        <v>follow+like+comenta=15%</v>
      </c>
      <c r="K314" s="3">
        <f>IF(UPPER(Configuracion!$B$2)="ON",ROUND(C314*(1-Configuracion!$B$3),0),ROUND(C314,0))</f>
        <v>64</v>
      </c>
    </row>
    <row r="315" spans="1:11" x14ac:dyDescent="0.35">
      <c r="A315" s="2">
        <v>314</v>
      </c>
      <c r="B315" s="2" t="s">
        <v>757</v>
      </c>
      <c r="C315" s="3">
        <v>75</v>
      </c>
      <c r="D315" s="2" t="s">
        <v>758</v>
      </c>
      <c r="E315" s="2" t="s">
        <v>759</v>
      </c>
      <c r="F315" s="2" t="s">
        <v>750</v>
      </c>
      <c r="G315" s="2">
        <v>10</v>
      </c>
      <c r="H315" s="2" t="str">
        <f>Configuracion!$B$2</f>
        <v>ON</v>
      </c>
      <c r="I315" s="4">
        <f>Configuracion!$B$3</f>
        <v>0.15</v>
      </c>
      <c r="J315" s="2" t="str">
        <f>IF(UPPER(Configuracion!$B$2)="ON",Configuracion!$B$4,"")</f>
        <v>follow+like+comenta=15%</v>
      </c>
      <c r="K315" s="3">
        <f>IF(UPPER(Configuracion!$B$2)="ON",ROUND(C315*(1-Configuracion!$B$3),0),ROUND(C315,0))</f>
        <v>64</v>
      </c>
    </row>
    <row r="316" spans="1:11" x14ac:dyDescent="0.35">
      <c r="A316" s="2">
        <v>315</v>
      </c>
      <c r="B316" s="2" t="s">
        <v>760</v>
      </c>
      <c r="C316" s="3">
        <v>75</v>
      </c>
      <c r="D316" s="2" t="s">
        <v>761</v>
      </c>
      <c r="E316" s="2" t="s">
        <v>762</v>
      </c>
      <c r="F316" s="2" t="s">
        <v>750</v>
      </c>
      <c r="G316" s="2">
        <v>10</v>
      </c>
      <c r="H316" s="2" t="str">
        <f>Configuracion!$B$2</f>
        <v>ON</v>
      </c>
      <c r="I316" s="4">
        <f>Configuracion!$B$3</f>
        <v>0.15</v>
      </c>
      <c r="J316" s="2" t="str">
        <f>IF(UPPER(Configuracion!$B$2)="ON",Configuracion!$B$4,"")</f>
        <v>follow+like+comenta=15%</v>
      </c>
      <c r="K316" s="3">
        <f>IF(UPPER(Configuracion!$B$2)="ON",ROUND(C316*(1-Configuracion!$B$3),0),ROUND(C316,0))</f>
        <v>64</v>
      </c>
    </row>
    <row r="317" spans="1:11" x14ac:dyDescent="0.35">
      <c r="A317" s="2">
        <v>316</v>
      </c>
      <c r="B317" s="2" t="s">
        <v>763</v>
      </c>
      <c r="C317" s="3">
        <v>75</v>
      </c>
      <c r="D317" s="2" t="s">
        <v>764</v>
      </c>
      <c r="E317" s="2" t="s">
        <v>765</v>
      </c>
      <c r="F317" s="2" t="s">
        <v>750</v>
      </c>
      <c r="G317" s="2">
        <v>10</v>
      </c>
      <c r="H317" s="2" t="str">
        <f>Configuracion!$B$2</f>
        <v>ON</v>
      </c>
      <c r="I317" s="4">
        <f>Configuracion!$B$3</f>
        <v>0.15</v>
      </c>
      <c r="J317" s="2" t="str">
        <f>IF(UPPER(Configuracion!$B$2)="ON",Configuracion!$B$4,"")</f>
        <v>follow+like+comenta=15%</v>
      </c>
      <c r="K317" s="3">
        <f>IF(UPPER(Configuracion!$B$2)="ON",ROUND(C317*(1-Configuracion!$B$3),0),ROUND(C317,0))</f>
        <v>64</v>
      </c>
    </row>
    <row r="318" spans="1:11" x14ac:dyDescent="0.35">
      <c r="A318" s="2">
        <v>317</v>
      </c>
      <c r="B318" s="2" t="s">
        <v>766</v>
      </c>
      <c r="C318" s="3">
        <v>75</v>
      </c>
      <c r="D318" s="2" t="s">
        <v>767</v>
      </c>
      <c r="E318" s="2" t="s">
        <v>768</v>
      </c>
      <c r="F318" s="2" t="s">
        <v>750</v>
      </c>
      <c r="G318" s="2">
        <v>10</v>
      </c>
      <c r="H318" s="2" t="str">
        <f>Configuracion!$B$2</f>
        <v>ON</v>
      </c>
      <c r="I318" s="4">
        <f>Configuracion!$B$3</f>
        <v>0.15</v>
      </c>
      <c r="J318" s="2" t="str">
        <f>IF(UPPER(Configuracion!$B$2)="ON",Configuracion!$B$4,"")</f>
        <v>follow+like+comenta=15%</v>
      </c>
      <c r="K318" s="3">
        <f>IF(UPPER(Configuracion!$B$2)="ON",ROUND(C318*(1-Configuracion!$B$3),0),ROUND(C318,0))</f>
        <v>64</v>
      </c>
    </row>
    <row r="319" spans="1:11" x14ac:dyDescent="0.35">
      <c r="A319" s="2">
        <v>318</v>
      </c>
      <c r="B319" s="2" t="s">
        <v>769</v>
      </c>
      <c r="C319" s="3">
        <v>75</v>
      </c>
      <c r="D319" s="2" t="s">
        <v>770</v>
      </c>
      <c r="E319" s="2" t="s">
        <v>771</v>
      </c>
      <c r="F319" s="2" t="s">
        <v>750</v>
      </c>
      <c r="G319" s="2">
        <v>10</v>
      </c>
      <c r="H319" s="2" t="str">
        <f>Configuracion!$B$2</f>
        <v>ON</v>
      </c>
      <c r="I319" s="4">
        <f>Configuracion!$B$3</f>
        <v>0.15</v>
      </c>
      <c r="J319" s="2" t="str">
        <f>IF(UPPER(Configuracion!$B$2)="ON",Configuracion!$B$4,"")</f>
        <v>follow+like+comenta=15%</v>
      </c>
      <c r="K319" s="3">
        <f>IF(UPPER(Configuracion!$B$2)="ON",ROUND(C319*(1-Configuracion!$B$3),0),ROUND(C319,0))</f>
        <v>64</v>
      </c>
    </row>
    <row r="320" spans="1:11" x14ac:dyDescent="0.35">
      <c r="A320" s="2">
        <v>319</v>
      </c>
      <c r="B320" s="2" t="s">
        <v>772</v>
      </c>
      <c r="C320" s="3">
        <v>75</v>
      </c>
      <c r="D320" s="2" t="s">
        <v>773</v>
      </c>
      <c r="E320" s="2" t="s">
        <v>774</v>
      </c>
      <c r="F320" s="2" t="s">
        <v>750</v>
      </c>
      <c r="G320" s="2">
        <v>10</v>
      </c>
      <c r="H320" s="2" t="str">
        <f>Configuracion!$B$2</f>
        <v>ON</v>
      </c>
      <c r="I320" s="4">
        <f>Configuracion!$B$3</f>
        <v>0.15</v>
      </c>
      <c r="J320" s="2" t="str">
        <f>IF(UPPER(Configuracion!$B$2)="ON",Configuracion!$B$4,"")</f>
        <v>follow+like+comenta=15%</v>
      </c>
      <c r="K320" s="3">
        <f>IF(UPPER(Configuracion!$B$2)="ON",ROUND(C320*(1-Configuracion!$B$3),0),ROUND(C320,0))</f>
        <v>64</v>
      </c>
    </row>
    <row r="321" spans="1:11" x14ac:dyDescent="0.35">
      <c r="A321" s="2">
        <v>320</v>
      </c>
      <c r="B321" s="2" t="s">
        <v>775</v>
      </c>
      <c r="C321" s="3">
        <v>75</v>
      </c>
      <c r="D321" s="2" t="s">
        <v>776</v>
      </c>
      <c r="E321" s="2" t="s">
        <v>777</v>
      </c>
      <c r="F321" s="2" t="s">
        <v>750</v>
      </c>
      <c r="G321" s="2">
        <v>5</v>
      </c>
      <c r="H321" s="2" t="str">
        <f>Configuracion!$B$2</f>
        <v>ON</v>
      </c>
      <c r="I321" s="4">
        <f>Configuracion!$B$3</f>
        <v>0.15</v>
      </c>
      <c r="J321" s="2" t="str">
        <f>IF(UPPER(Configuracion!$B$2)="ON",Configuracion!$B$4,"")</f>
        <v>follow+like+comenta=15%</v>
      </c>
      <c r="K321" s="3">
        <f>IF(UPPER(Configuracion!$B$2)="ON",ROUND(C321*(1-Configuracion!$B$3),0),ROUND(C321,0))</f>
        <v>64</v>
      </c>
    </row>
    <row r="322" spans="1:11" x14ac:dyDescent="0.35">
      <c r="A322" s="2">
        <v>321</v>
      </c>
      <c r="B322" s="2" t="s">
        <v>778</v>
      </c>
      <c r="C322" s="3">
        <v>75</v>
      </c>
      <c r="D322" s="2" t="s">
        <v>779</v>
      </c>
      <c r="E322" s="2" t="s">
        <v>780</v>
      </c>
      <c r="F322" s="2" t="s">
        <v>750</v>
      </c>
      <c r="G322" s="2">
        <v>5</v>
      </c>
      <c r="H322" s="2" t="str">
        <f>Configuracion!$B$2</f>
        <v>ON</v>
      </c>
      <c r="I322" s="4">
        <f>Configuracion!$B$3</f>
        <v>0.15</v>
      </c>
      <c r="J322" s="2" t="str">
        <f>IF(UPPER(Configuracion!$B$2)="ON",Configuracion!$B$4,"")</f>
        <v>follow+like+comenta=15%</v>
      </c>
      <c r="K322" s="3">
        <f>IF(UPPER(Configuracion!$B$2)="ON",ROUND(C322*(1-Configuracion!$B$3),0),ROUND(C322,0))</f>
        <v>64</v>
      </c>
    </row>
    <row r="323" spans="1:11" x14ac:dyDescent="0.35">
      <c r="A323" s="2">
        <v>322</v>
      </c>
      <c r="B323" s="2" t="s">
        <v>781</v>
      </c>
      <c r="C323" s="3">
        <v>100</v>
      </c>
      <c r="D323" s="2" t="s">
        <v>782</v>
      </c>
      <c r="E323" s="2" t="s">
        <v>783</v>
      </c>
      <c r="F323" s="2" t="s">
        <v>750</v>
      </c>
      <c r="G323" s="2">
        <v>8</v>
      </c>
      <c r="H323" s="2" t="str">
        <f>Configuracion!$B$2</f>
        <v>ON</v>
      </c>
      <c r="I323" s="4">
        <f>Configuracion!$B$3</f>
        <v>0.15</v>
      </c>
      <c r="J323" s="2" t="str">
        <f>IF(UPPER(Configuracion!$B$2)="ON",Configuracion!$B$4,"")</f>
        <v>follow+like+comenta=15%</v>
      </c>
      <c r="K323" s="3">
        <f>IF(UPPER(Configuracion!$B$2)="ON",ROUND(C323*(1-Configuracion!$B$3),0),ROUND(C323,0))</f>
        <v>85</v>
      </c>
    </row>
    <row r="324" spans="1:11" x14ac:dyDescent="0.35">
      <c r="A324" s="2">
        <v>323</v>
      </c>
      <c r="B324" s="2" t="s">
        <v>784</v>
      </c>
      <c r="C324" s="3">
        <v>100</v>
      </c>
      <c r="D324" s="2" t="s">
        <v>785</v>
      </c>
      <c r="E324" s="2" t="s">
        <v>786</v>
      </c>
      <c r="F324" s="2" t="s">
        <v>750</v>
      </c>
      <c r="G324" s="2">
        <v>9</v>
      </c>
      <c r="H324" s="2" t="str">
        <f>Configuracion!$B$2</f>
        <v>ON</v>
      </c>
      <c r="I324" s="4">
        <f>Configuracion!$B$3</f>
        <v>0.15</v>
      </c>
      <c r="J324" s="2" t="str">
        <f>IF(UPPER(Configuracion!$B$2)="ON",Configuracion!$B$4,"")</f>
        <v>follow+like+comenta=15%</v>
      </c>
      <c r="K324" s="3">
        <f>IF(UPPER(Configuracion!$B$2)="ON",ROUND(C324*(1-Configuracion!$B$3),0),ROUND(C324,0))</f>
        <v>85</v>
      </c>
    </row>
    <row r="325" spans="1:11" x14ac:dyDescent="0.35">
      <c r="A325" s="2">
        <v>324</v>
      </c>
      <c r="B325" s="2" t="s">
        <v>787</v>
      </c>
      <c r="C325" s="3">
        <v>100</v>
      </c>
      <c r="D325" s="2" t="s">
        <v>788</v>
      </c>
      <c r="E325" s="2" t="s">
        <v>789</v>
      </c>
      <c r="F325" s="2" t="s">
        <v>750</v>
      </c>
      <c r="G325" s="2">
        <v>8</v>
      </c>
      <c r="H325" s="2" t="str">
        <f>Configuracion!$B$2</f>
        <v>ON</v>
      </c>
      <c r="I325" s="4">
        <f>Configuracion!$B$3</f>
        <v>0.15</v>
      </c>
      <c r="J325" s="2" t="str">
        <f>IF(UPPER(Configuracion!$B$2)="ON",Configuracion!$B$4,"")</f>
        <v>follow+like+comenta=15%</v>
      </c>
      <c r="K325" s="3">
        <f>IF(UPPER(Configuracion!$B$2)="ON",ROUND(C325*(1-Configuracion!$B$3),0),ROUND(C325,0))</f>
        <v>85</v>
      </c>
    </row>
    <row r="326" spans="1:11" x14ac:dyDescent="0.35">
      <c r="A326" s="2">
        <v>325</v>
      </c>
      <c r="B326" s="2" t="s">
        <v>790</v>
      </c>
      <c r="C326" s="3">
        <v>100</v>
      </c>
      <c r="D326" s="2" t="s">
        <v>791</v>
      </c>
      <c r="E326" s="2" t="s">
        <v>792</v>
      </c>
      <c r="F326" s="2" t="s">
        <v>750</v>
      </c>
      <c r="G326" s="2">
        <v>8</v>
      </c>
      <c r="H326" s="2" t="str">
        <f>Configuracion!$B$2</f>
        <v>ON</v>
      </c>
      <c r="I326" s="4">
        <f>Configuracion!$B$3</f>
        <v>0.15</v>
      </c>
      <c r="J326" s="2" t="str">
        <f>IF(UPPER(Configuracion!$B$2)="ON",Configuracion!$B$4,"")</f>
        <v>follow+like+comenta=15%</v>
      </c>
      <c r="K326" s="3">
        <f>IF(UPPER(Configuracion!$B$2)="ON",ROUND(C326*(1-Configuracion!$B$3),0),ROUND(C326,0))</f>
        <v>85</v>
      </c>
    </row>
    <row r="327" spans="1:11" x14ac:dyDescent="0.35">
      <c r="A327" s="2">
        <v>326</v>
      </c>
      <c r="B327" s="2" t="s">
        <v>793</v>
      </c>
      <c r="C327" s="3">
        <v>100</v>
      </c>
      <c r="D327" s="2" t="s">
        <v>794</v>
      </c>
      <c r="E327" s="2" t="s">
        <v>795</v>
      </c>
      <c r="F327" s="2" t="s">
        <v>750</v>
      </c>
      <c r="G327" s="2">
        <v>9</v>
      </c>
      <c r="H327" s="2" t="str">
        <f>Configuracion!$B$2</f>
        <v>ON</v>
      </c>
      <c r="I327" s="4">
        <f>Configuracion!$B$3</f>
        <v>0.15</v>
      </c>
      <c r="J327" s="2" t="str">
        <f>IF(UPPER(Configuracion!$B$2)="ON",Configuracion!$B$4,"")</f>
        <v>follow+like+comenta=15%</v>
      </c>
      <c r="K327" s="3">
        <f>IF(UPPER(Configuracion!$B$2)="ON",ROUND(C327*(1-Configuracion!$B$3),0),ROUND(C327,0))</f>
        <v>85</v>
      </c>
    </row>
    <row r="328" spans="1:11" x14ac:dyDescent="0.35">
      <c r="A328" s="2">
        <v>327</v>
      </c>
      <c r="B328" s="2" t="s">
        <v>796</v>
      </c>
      <c r="C328" s="3">
        <v>100</v>
      </c>
      <c r="D328" s="2" t="s">
        <v>797</v>
      </c>
      <c r="E328" s="2" t="s">
        <v>798</v>
      </c>
      <c r="F328" s="2" t="s">
        <v>750</v>
      </c>
      <c r="G328" s="2">
        <v>8</v>
      </c>
      <c r="H328" s="2" t="str">
        <f>Configuracion!$B$2</f>
        <v>ON</v>
      </c>
      <c r="I328" s="4">
        <f>Configuracion!$B$3</f>
        <v>0.15</v>
      </c>
      <c r="J328" s="2" t="str">
        <f>IF(UPPER(Configuracion!$B$2)="ON",Configuracion!$B$4,"")</f>
        <v>follow+like+comenta=15%</v>
      </c>
      <c r="K328" s="3">
        <f>IF(UPPER(Configuracion!$B$2)="ON",ROUND(C328*(1-Configuracion!$B$3),0),ROUND(C328,0))</f>
        <v>85</v>
      </c>
    </row>
    <row r="329" spans="1:11" x14ac:dyDescent="0.35">
      <c r="A329" s="2">
        <v>328</v>
      </c>
      <c r="B329" s="2" t="s">
        <v>799</v>
      </c>
      <c r="C329" s="3">
        <v>120</v>
      </c>
      <c r="D329" s="2" t="s">
        <v>800</v>
      </c>
      <c r="E329" s="2" t="s">
        <v>801</v>
      </c>
      <c r="F329" s="2" t="s">
        <v>750</v>
      </c>
      <c r="G329" s="2">
        <v>4</v>
      </c>
      <c r="H329" s="2" t="str">
        <f>Configuracion!$B$2</f>
        <v>ON</v>
      </c>
      <c r="I329" s="4">
        <f>Configuracion!$B$3</f>
        <v>0.15</v>
      </c>
      <c r="J329" s="2" t="str">
        <f>IF(UPPER(Configuracion!$B$2)="ON",Configuracion!$B$4,"")</f>
        <v>follow+like+comenta=15%</v>
      </c>
      <c r="K329" s="3">
        <f>IF(UPPER(Configuracion!$B$2)="ON",ROUND(C329*(1-Configuracion!$B$3),0),ROUND(C329,0))</f>
        <v>102</v>
      </c>
    </row>
    <row r="330" spans="1:11" x14ac:dyDescent="0.35">
      <c r="A330" s="2">
        <v>329</v>
      </c>
      <c r="B330" s="2" t="s">
        <v>802</v>
      </c>
      <c r="C330" s="3">
        <v>120</v>
      </c>
      <c r="D330" s="2" t="s">
        <v>803</v>
      </c>
      <c r="E330" s="2" t="s">
        <v>804</v>
      </c>
      <c r="F330" s="2" t="s">
        <v>750</v>
      </c>
      <c r="G330" s="2">
        <v>4</v>
      </c>
      <c r="H330" s="2" t="str">
        <f>Configuracion!$B$2</f>
        <v>ON</v>
      </c>
      <c r="I330" s="4">
        <f>Configuracion!$B$3</f>
        <v>0.15</v>
      </c>
      <c r="J330" s="2" t="str">
        <f>IF(UPPER(Configuracion!$B$2)="ON",Configuracion!$B$4,"")</f>
        <v>follow+like+comenta=15%</v>
      </c>
      <c r="K330" s="3">
        <f>IF(UPPER(Configuracion!$B$2)="ON",ROUND(C330*(1-Configuracion!$B$3),0),ROUND(C330,0))</f>
        <v>102</v>
      </c>
    </row>
    <row r="331" spans="1:11" x14ac:dyDescent="0.35">
      <c r="A331" s="2">
        <v>330</v>
      </c>
      <c r="B331" s="2" t="s">
        <v>805</v>
      </c>
      <c r="C331" s="3">
        <v>120</v>
      </c>
      <c r="D331" s="2" t="s">
        <v>806</v>
      </c>
      <c r="E331" s="2" t="s">
        <v>807</v>
      </c>
      <c r="F331" s="2" t="s">
        <v>750</v>
      </c>
      <c r="G331" s="2">
        <v>4</v>
      </c>
      <c r="H331" s="2" t="str">
        <f>Configuracion!$B$2</f>
        <v>ON</v>
      </c>
      <c r="I331" s="4">
        <f>Configuracion!$B$3</f>
        <v>0.15</v>
      </c>
      <c r="J331" s="2" t="str">
        <f>IF(UPPER(Configuracion!$B$2)="ON",Configuracion!$B$4,"")</f>
        <v>follow+like+comenta=15%</v>
      </c>
      <c r="K331" s="3">
        <f>IF(UPPER(Configuracion!$B$2)="ON",ROUND(C331*(1-Configuracion!$B$3),0),ROUND(C331,0))</f>
        <v>102</v>
      </c>
    </row>
    <row r="332" spans="1:11" x14ac:dyDescent="0.35">
      <c r="A332" s="2">
        <v>331</v>
      </c>
      <c r="B332" s="2" t="s">
        <v>808</v>
      </c>
      <c r="C332" s="3">
        <v>120</v>
      </c>
      <c r="D332" s="2" t="s">
        <v>809</v>
      </c>
      <c r="E332" s="2" t="s">
        <v>810</v>
      </c>
      <c r="F332" s="2" t="s">
        <v>750</v>
      </c>
      <c r="G332" s="2">
        <v>4</v>
      </c>
      <c r="H332" s="2" t="str">
        <f>Configuracion!$B$2</f>
        <v>ON</v>
      </c>
      <c r="I332" s="4">
        <f>Configuracion!$B$3</f>
        <v>0.15</v>
      </c>
      <c r="J332" s="2" t="str">
        <f>IF(UPPER(Configuracion!$B$2)="ON",Configuracion!$B$4,"")</f>
        <v>follow+like+comenta=15%</v>
      </c>
      <c r="K332" s="3">
        <f>IF(UPPER(Configuracion!$B$2)="ON",ROUND(C332*(1-Configuracion!$B$3),0),ROUND(C332,0))</f>
        <v>102</v>
      </c>
    </row>
    <row r="333" spans="1:11" x14ac:dyDescent="0.35">
      <c r="A333" s="2">
        <v>332</v>
      </c>
      <c r="B333" s="2" t="s">
        <v>811</v>
      </c>
      <c r="C333" s="3">
        <v>120</v>
      </c>
      <c r="D333" s="2" t="s">
        <v>812</v>
      </c>
      <c r="E333" s="2" t="s">
        <v>813</v>
      </c>
      <c r="F333" s="2" t="s">
        <v>750</v>
      </c>
      <c r="G333" s="2">
        <v>4</v>
      </c>
      <c r="H333" s="2" t="str">
        <f>Configuracion!$B$2</f>
        <v>ON</v>
      </c>
      <c r="I333" s="4">
        <f>Configuracion!$B$3</f>
        <v>0.15</v>
      </c>
      <c r="J333" s="2" t="str">
        <f>IF(UPPER(Configuracion!$B$2)="ON",Configuracion!$B$4,"")</f>
        <v>follow+like+comenta=15%</v>
      </c>
      <c r="K333" s="3">
        <f>IF(UPPER(Configuracion!$B$2)="ON",ROUND(C333*(1-Configuracion!$B$3),0),ROUND(C333,0))</f>
        <v>102</v>
      </c>
    </row>
    <row r="334" spans="1:11" x14ac:dyDescent="0.35">
      <c r="A334" s="2">
        <v>333</v>
      </c>
      <c r="B334" s="2" t="s">
        <v>814</v>
      </c>
      <c r="C334" s="3">
        <v>120</v>
      </c>
      <c r="D334" s="2" t="s">
        <v>815</v>
      </c>
      <c r="E334" s="2" t="s">
        <v>816</v>
      </c>
      <c r="F334" s="2" t="s">
        <v>750</v>
      </c>
      <c r="G334" s="2">
        <v>5</v>
      </c>
      <c r="H334" s="2" t="str">
        <f>Configuracion!$B$2</f>
        <v>ON</v>
      </c>
      <c r="I334" s="4">
        <f>Configuracion!$B$3</f>
        <v>0.15</v>
      </c>
      <c r="J334" s="2" t="str">
        <f>IF(UPPER(Configuracion!$B$2)="ON",Configuracion!$B$4,"")</f>
        <v>follow+like+comenta=15%</v>
      </c>
      <c r="K334" s="3">
        <f>IF(UPPER(Configuracion!$B$2)="ON",ROUND(C334*(1-Configuracion!$B$3),0),ROUND(C334,0))</f>
        <v>102</v>
      </c>
    </row>
    <row r="335" spans="1:11" x14ac:dyDescent="0.35">
      <c r="A335" s="2">
        <v>334</v>
      </c>
      <c r="B335" s="2" t="s">
        <v>817</v>
      </c>
      <c r="C335" s="3">
        <v>100</v>
      </c>
      <c r="D335" s="2" t="s">
        <v>818</v>
      </c>
      <c r="E335" s="2" t="s">
        <v>819</v>
      </c>
      <c r="F335" s="2" t="s">
        <v>750</v>
      </c>
      <c r="G335" s="2">
        <v>10</v>
      </c>
      <c r="H335" s="2" t="str">
        <f>Configuracion!$B$2</f>
        <v>ON</v>
      </c>
      <c r="I335" s="4">
        <f>Configuracion!$B$3</f>
        <v>0.15</v>
      </c>
      <c r="J335" s="2" t="str">
        <f>IF(UPPER(Configuracion!$B$2)="ON",Configuracion!$B$4,"")</f>
        <v>follow+like+comenta=15%</v>
      </c>
      <c r="K335" s="3">
        <f>IF(UPPER(Configuracion!$B$2)="ON",ROUND(C335*(1-Configuracion!$B$3),0),ROUND(C335,0))</f>
        <v>85</v>
      </c>
    </row>
    <row r="336" spans="1:11" x14ac:dyDescent="0.35">
      <c r="A336" s="2">
        <v>335</v>
      </c>
      <c r="B336" s="2" t="s">
        <v>820</v>
      </c>
      <c r="C336" s="3">
        <v>100</v>
      </c>
      <c r="D336" s="2" t="s">
        <v>821</v>
      </c>
      <c r="E336" s="2" t="s">
        <v>822</v>
      </c>
      <c r="F336" s="2" t="s">
        <v>750</v>
      </c>
      <c r="G336" s="2">
        <v>10</v>
      </c>
      <c r="H336" s="2" t="str">
        <f>Configuracion!$B$2</f>
        <v>ON</v>
      </c>
      <c r="I336" s="4">
        <f>Configuracion!$B$3</f>
        <v>0.15</v>
      </c>
      <c r="J336" s="2" t="str">
        <f>IF(UPPER(Configuracion!$B$2)="ON",Configuracion!$B$4,"")</f>
        <v>follow+like+comenta=15%</v>
      </c>
      <c r="K336" s="3">
        <f>IF(UPPER(Configuracion!$B$2)="ON",ROUND(C336*(1-Configuracion!$B$3),0),ROUND(C336,0))</f>
        <v>85</v>
      </c>
    </row>
    <row r="337" spans="1:11" x14ac:dyDescent="0.35">
      <c r="A337" s="2">
        <v>336</v>
      </c>
      <c r="B337" s="2" t="s">
        <v>823</v>
      </c>
      <c r="C337" s="3">
        <v>100</v>
      </c>
      <c r="D337" s="2" t="s">
        <v>824</v>
      </c>
      <c r="E337" s="2" t="s">
        <v>825</v>
      </c>
      <c r="F337" s="2" t="s">
        <v>750</v>
      </c>
      <c r="G337" s="2">
        <v>10</v>
      </c>
      <c r="H337" s="2" t="str">
        <f>Configuracion!$B$2</f>
        <v>ON</v>
      </c>
      <c r="I337" s="4">
        <f>Configuracion!$B$3</f>
        <v>0.15</v>
      </c>
      <c r="J337" s="2" t="str">
        <f>IF(UPPER(Configuracion!$B$2)="ON",Configuracion!$B$4,"")</f>
        <v>follow+like+comenta=15%</v>
      </c>
      <c r="K337" s="3">
        <f>IF(UPPER(Configuracion!$B$2)="ON",ROUND(C337*(1-Configuracion!$B$3),0),ROUND(C337,0))</f>
        <v>85</v>
      </c>
    </row>
    <row r="338" spans="1:11" ht="12.9" customHeight="1" x14ac:dyDescent="0.35">
      <c r="A338" s="2">
        <v>337</v>
      </c>
      <c r="B338" s="2" t="s">
        <v>826</v>
      </c>
      <c r="C338" s="3">
        <v>85</v>
      </c>
      <c r="D338" s="2" t="s">
        <v>827</v>
      </c>
      <c r="E338" s="2" t="s">
        <v>828</v>
      </c>
      <c r="F338" s="2" t="s">
        <v>750</v>
      </c>
      <c r="G338" s="2">
        <v>30</v>
      </c>
      <c r="H338" s="2" t="str">
        <f>Configuracion!$B$2</f>
        <v>ON</v>
      </c>
      <c r="I338" s="4">
        <f>Configuracion!$B$3</f>
        <v>0.15</v>
      </c>
      <c r="J338" s="2" t="str">
        <f>IF(UPPER(Configuracion!$B$2)="ON",Configuracion!$B$4,"")</f>
        <v>follow+like+comenta=15%</v>
      </c>
      <c r="K338" s="3">
        <f>IF(UPPER(Configuracion!$B$2)="ON",ROUND(C338*(1-Configuracion!$B$3),0),ROUND(C338,0))</f>
        <v>72</v>
      </c>
    </row>
    <row r="339" spans="1:11" ht="12.9" customHeight="1" x14ac:dyDescent="0.35">
      <c r="A339" s="2">
        <v>338</v>
      </c>
      <c r="B339" s="2" t="s">
        <v>829</v>
      </c>
      <c r="C339" s="3">
        <v>85</v>
      </c>
      <c r="D339" s="2" t="s">
        <v>830</v>
      </c>
      <c r="E339" s="2" t="s">
        <v>831</v>
      </c>
      <c r="F339" s="2" t="s">
        <v>750</v>
      </c>
      <c r="G339" s="2">
        <v>30</v>
      </c>
      <c r="H339" s="2" t="str">
        <f>Configuracion!$B$2</f>
        <v>ON</v>
      </c>
      <c r="I339" s="4">
        <f>Configuracion!$B$3</f>
        <v>0.15</v>
      </c>
      <c r="J339" s="2" t="str">
        <f>IF(UPPER(Configuracion!$B$2)="ON",Configuracion!$B$4,"")</f>
        <v>follow+like+comenta=15%</v>
      </c>
      <c r="K339" s="3">
        <f>IF(UPPER(Configuracion!$B$2)="ON",ROUND(C339*(1-Configuracion!$B$3),0),ROUND(C339,0))</f>
        <v>72</v>
      </c>
    </row>
    <row r="340" spans="1:11" ht="29" x14ac:dyDescent="0.35">
      <c r="A340" s="2">
        <v>339</v>
      </c>
      <c r="B340" s="2" t="s">
        <v>832</v>
      </c>
      <c r="C340" s="3">
        <v>160</v>
      </c>
      <c r="D340" s="2" t="s">
        <v>833</v>
      </c>
      <c r="E340" s="2" t="s">
        <v>834</v>
      </c>
      <c r="F340" s="2" t="s">
        <v>750</v>
      </c>
      <c r="G340" s="2">
        <v>24</v>
      </c>
      <c r="H340" s="2" t="str">
        <f>Configuracion!$B$2</f>
        <v>ON</v>
      </c>
      <c r="I340" s="4">
        <f>Configuracion!$B$3</f>
        <v>0.15</v>
      </c>
      <c r="J340" s="2" t="str">
        <f>IF(UPPER(Configuracion!$B$2)="ON",Configuracion!$B$4,"")</f>
        <v>follow+like+comenta=15%</v>
      </c>
      <c r="K340" s="3">
        <f>IF(UPPER(Configuracion!$B$2)="ON",ROUND(C340*(1-Configuracion!$B$3),0),ROUND(C340,0))</f>
        <v>136</v>
      </c>
    </row>
    <row r="341" spans="1:11" x14ac:dyDescent="0.35">
      <c r="A341" s="2">
        <v>340</v>
      </c>
      <c r="B341" s="2" t="s">
        <v>835</v>
      </c>
      <c r="C341" s="3">
        <v>75</v>
      </c>
      <c r="D341" s="2" t="s">
        <v>836</v>
      </c>
      <c r="E341" s="2" t="s">
        <v>837</v>
      </c>
      <c r="F341" s="2" t="s">
        <v>750</v>
      </c>
      <c r="G341" s="2">
        <v>10</v>
      </c>
      <c r="H341" s="2" t="str">
        <f>Configuracion!$B$2</f>
        <v>ON</v>
      </c>
      <c r="I341" s="4">
        <f>Configuracion!$B$3</f>
        <v>0.15</v>
      </c>
      <c r="J341" s="2" t="str">
        <f>IF(UPPER(Configuracion!$B$2)="ON",Configuracion!$B$4,"")</f>
        <v>follow+like+comenta=15%</v>
      </c>
      <c r="K341" s="3">
        <f>IF(UPPER(Configuracion!$B$2)="ON",ROUND(C341*(1-Configuracion!$B$3),0),ROUND(C341,0))</f>
        <v>64</v>
      </c>
    </row>
    <row r="342" spans="1:11" x14ac:dyDescent="0.35">
      <c r="A342" s="2">
        <v>341</v>
      </c>
      <c r="B342" s="2" t="s">
        <v>838</v>
      </c>
      <c r="C342" s="3">
        <v>75</v>
      </c>
      <c r="D342" s="2" t="s">
        <v>839</v>
      </c>
      <c r="E342" s="2" t="s">
        <v>837</v>
      </c>
      <c r="F342" s="2" t="s">
        <v>750</v>
      </c>
      <c r="G342" s="2">
        <v>10</v>
      </c>
      <c r="H342" s="2" t="str">
        <f>Configuracion!$B$2</f>
        <v>ON</v>
      </c>
      <c r="I342" s="4">
        <f>Configuracion!$B$3</f>
        <v>0.15</v>
      </c>
      <c r="J342" s="2" t="str">
        <f>IF(UPPER(Configuracion!$B$2)="ON",Configuracion!$B$4,"")</f>
        <v>follow+like+comenta=15%</v>
      </c>
      <c r="K342" s="3">
        <f>IF(UPPER(Configuracion!$B$2)="ON",ROUND(C342*(1-Configuracion!$B$3),0),ROUND(C342,0))</f>
        <v>64</v>
      </c>
    </row>
    <row r="343" spans="1:11" x14ac:dyDescent="0.35">
      <c r="A343" s="2">
        <v>342</v>
      </c>
      <c r="B343" s="2" t="s">
        <v>840</v>
      </c>
      <c r="C343" s="3">
        <v>75</v>
      </c>
      <c r="D343" s="2" t="s">
        <v>841</v>
      </c>
      <c r="E343" s="2" t="s">
        <v>842</v>
      </c>
      <c r="F343" s="2" t="s">
        <v>750</v>
      </c>
      <c r="G343" s="2">
        <v>10</v>
      </c>
      <c r="H343" s="2" t="str">
        <f>Configuracion!$B$2</f>
        <v>ON</v>
      </c>
      <c r="I343" s="4">
        <f>Configuracion!$B$3</f>
        <v>0.15</v>
      </c>
      <c r="J343" s="2" t="str">
        <f>IF(UPPER(Configuracion!$B$2)="ON",Configuracion!$B$4,"")</f>
        <v>follow+like+comenta=15%</v>
      </c>
      <c r="K343" s="3">
        <f>IF(UPPER(Configuracion!$B$2)="ON",ROUND(C343*(1-Configuracion!$B$3),0),ROUND(C343,0))</f>
        <v>64</v>
      </c>
    </row>
    <row r="344" spans="1:11" ht="12.9" customHeight="1" x14ac:dyDescent="0.35">
      <c r="A344" s="2">
        <v>343</v>
      </c>
      <c r="B344" s="2" t="s">
        <v>843</v>
      </c>
      <c r="C344" s="3">
        <v>75</v>
      </c>
      <c r="D344" s="2" t="s">
        <v>844</v>
      </c>
      <c r="E344" s="2" t="s">
        <v>845</v>
      </c>
      <c r="F344" s="2" t="s">
        <v>750</v>
      </c>
      <c r="G344" s="2">
        <v>10</v>
      </c>
      <c r="H344" s="2" t="str">
        <f>Configuracion!$B$2</f>
        <v>ON</v>
      </c>
      <c r="I344" s="4">
        <f>Configuracion!$B$3</f>
        <v>0.15</v>
      </c>
      <c r="J344" s="2" t="str">
        <f>IF(UPPER(Configuracion!$B$2)="ON",Configuracion!$B$4,"")</f>
        <v>follow+like+comenta=15%</v>
      </c>
      <c r="K344" s="3">
        <f>IF(UPPER(Configuracion!$B$2)="ON",ROUND(C344*(1-Configuracion!$B$3),0),ROUND(C344,0))</f>
        <v>64</v>
      </c>
    </row>
    <row r="345" spans="1:11" x14ac:dyDescent="0.35">
      <c r="A345" s="2">
        <v>344</v>
      </c>
      <c r="B345" s="2" t="s">
        <v>846</v>
      </c>
      <c r="C345" s="3">
        <v>75</v>
      </c>
      <c r="D345" s="2" t="s">
        <v>847</v>
      </c>
      <c r="E345" s="2" t="s">
        <v>842</v>
      </c>
      <c r="F345" s="2" t="s">
        <v>750</v>
      </c>
      <c r="G345" s="2">
        <v>10</v>
      </c>
      <c r="H345" s="2" t="str">
        <f>Configuracion!$B$2</f>
        <v>ON</v>
      </c>
      <c r="I345" s="4">
        <f>Configuracion!$B$3</f>
        <v>0.15</v>
      </c>
      <c r="J345" s="2" t="str">
        <f>IF(UPPER(Configuracion!$B$2)="ON",Configuracion!$B$4,"")</f>
        <v>follow+like+comenta=15%</v>
      </c>
      <c r="K345" s="3">
        <f>IF(UPPER(Configuracion!$B$2)="ON",ROUND(C345*(1-Configuracion!$B$3),0),ROUND(C345,0))</f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5" x14ac:dyDescent="0.35"/>
  <cols>
    <col min="1" max="1" width="22" customWidth="1"/>
    <col min="2" max="2" width="24" customWidth="1"/>
    <col min="3" max="3" width="48" customWidth="1"/>
  </cols>
  <sheetData>
    <row r="1" spans="1:3" x14ac:dyDescent="0.35">
      <c r="A1" s="1" t="s">
        <v>848</v>
      </c>
      <c r="B1" s="1" t="s">
        <v>849</v>
      </c>
      <c r="C1" s="1" t="s">
        <v>850</v>
      </c>
    </row>
    <row r="2" spans="1:3" x14ac:dyDescent="0.35">
      <c r="A2" s="2" t="s">
        <v>7</v>
      </c>
      <c r="B2" s="2" t="s">
        <v>851</v>
      </c>
      <c r="C2" s="2" t="s">
        <v>852</v>
      </c>
    </row>
    <row r="3" spans="1:3" x14ac:dyDescent="0.35">
      <c r="A3" s="2" t="s">
        <v>8</v>
      </c>
      <c r="B3" s="4">
        <v>0.15</v>
      </c>
      <c r="C3" s="2" t="s">
        <v>853</v>
      </c>
    </row>
    <row r="4" spans="1:3" x14ac:dyDescent="0.35">
      <c r="A4" s="2" t="s">
        <v>9</v>
      </c>
      <c r="B4" s="2" t="s">
        <v>854</v>
      </c>
      <c r="C4" s="2" t="s">
        <v>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workbookViewId="0"/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5" width="52" customWidth="1"/>
    <col min="6" max="6" width="14" customWidth="1"/>
    <col min="7" max="7" width="10" customWidth="1"/>
    <col min="8" max="8" width="16" customWidth="1"/>
    <col min="10" max="10" width="26" customWidth="1"/>
    <col min="11" max="11" width="18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311</v>
      </c>
      <c r="B2" t="s">
        <v>747</v>
      </c>
      <c r="C2" s="5">
        <v>100</v>
      </c>
      <c r="E2" t="s">
        <v>749</v>
      </c>
      <c r="F2" t="s">
        <v>750</v>
      </c>
      <c r="G2">
        <v>40</v>
      </c>
      <c r="H2" t="str">
        <f>Configuracion!$B$2</f>
        <v>ON</v>
      </c>
      <c r="I2" s="6">
        <f>Configuracion!$B$3</f>
        <v>0.15</v>
      </c>
      <c r="J2" t="str">
        <f>IF(UPPER(Configuracion!$B$2)="ON",Configuracion!$B$4,"")</f>
        <v>follow+like+comenta=15%</v>
      </c>
      <c r="K2" s="5">
        <f>IF(UPPER(Configuracion!$B$2)="ON",ROUND(C2*(1-Configuracion!$B$3),0),ROUND(C2,0))</f>
        <v>85</v>
      </c>
    </row>
    <row r="3" spans="1:11" x14ac:dyDescent="0.35">
      <c r="A3">
        <v>312</v>
      </c>
      <c r="B3" t="s">
        <v>751</v>
      </c>
      <c r="C3" s="5">
        <v>100</v>
      </c>
      <c r="E3" t="s">
        <v>753</v>
      </c>
      <c r="F3" t="s">
        <v>750</v>
      </c>
      <c r="G3">
        <v>40</v>
      </c>
      <c r="H3" t="str">
        <f>Configuracion!$B$2</f>
        <v>ON</v>
      </c>
      <c r="I3" s="6">
        <f>Configuracion!$B$3</f>
        <v>0.15</v>
      </c>
      <c r="J3" t="str">
        <f>IF(UPPER(Configuracion!$B$2)="ON",Configuracion!$B$4,"")</f>
        <v>follow+like+comenta=15%</v>
      </c>
      <c r="K3" s="5">
        <f>IF(UPPER(Configuracion!$B$2)="ON",ROUND(C3*(1-Configuracion!$B$3),0),ROUND(C3,0))</f>
        <v>85</v>
      </c>
    </row>
    <row r="4" spans="1:11" x14ac:dyDescent="0.35">
      <c r="A4">
        <v>313</v>
      </c>
      <c r="B4" t="s">
        <v>754</v>
      </c>
      <c r="C4" s="5">
        <v>100</v>
      </c>
      <c r="E4" t="s">
        <v>756</v>
      </c>
      <c r="F4" t="s">
        <v>750</v>
      </c>
      <c r="G4">
        <v>10</v>
      </c>
      <c r="H4" t="str">
        <f>Configuracion!$B$2</f>
        <v>ON</v>
      </c>
      <c r="I4" s="6">
        <f>Configuracion!$B$3</f>
        <v>0.15</v>
      </c>
      <c r="J4" t="str">
        <f>IF(UPPER(Configuracion!$B$2)="ON",Configuracion!$B$4,"")</f>
        <v>follow+like+comenta=15%</v>
      </c>
      <c r="K4" s="5">
        <f>IF(UPPER(Configuracion!$B$2)="ON",ROUND(C4*(1-Configuracion!$B$3),0),ROUND(C4,0))</f>
        <v>85</v>
      </c>
    </row>
    <row r="5" spans="1:11" x14ac:dyDescent="0.35">
      <c r="A5">
        <v>314</v>
      </c>
      <c r="B5" t="s">
        <v>757</v>
      </c>
      <c r="C5" s="5">
        <v>100</v>
      </c>
      <c r="E5" t="s">
        <v>759</v>
      </c>
      <c r="F5" t="s">
        <v>750</v>
      </c>
      <c r="G5">
        <v>10</v>
      </c>
      <c r="H5" t="str">
        <f>Configuracion!$B$2</f>
        <v>ON</v>
      </c>
      <c r="I5" s="6">
        <f>Configuracion!$B$3</f>
        <v>0.15</v>
      </c>
      <c r="J5" t="str">
        <f>IF(UPPER(Configuracion!$B$2)="ON",Configuracion!$B$4,"")</f>
        <v>follow+like+comenta=15%</v>
      </c>
      <c r="K5" s="5">
        <f>IF(UPPER(Configuracion!$B$2)="ON",ROUND(C5*(1-Configuracion!$B$3),0),ROUND(C5,0))</f>
        <v>85</v>
      </c>
    </row>
    <row r="6" spans="1:11" x14ac:dyDescent="0.35">
      <c r="A6">
        <v>315</v>
      </c>
      <c r="B6" t="s">
        <v>760</v>
      </c>
      <c r="C6" s="5">
        <v>100</v>
      </c>
      <c r="E6" t="s">
        <v>762</v>
      </c>
      <c r="F6" t="s">
        <v>750</v>
      </c>
      <c r="G6">
        <v>10</v>
      </c>
      <c r="H6" t="str">
        <f>Configuracion!$B$2</f>
        <v>ON</v>
      </c>
      <c r="I6" s="6">
        <f>Configuracion!$B$3</f>
        <v>0.15</v>
      </c>
      <c r="J6" t="str">
        <f>IF(UPPER(Configuracion!$B$2)="ON",Configuracion!$B$4,"")</f>
        <v>follow+like+comenta=15%</v>
      </c>
      <c r="K6" s="5">
        <f>IF(UPPER(Configuracion!$B$2)="ON",ROUND(C6*(1-Configuracion!$B$3),0),ROUND(C6,0))</f>
        <v>85</v>
      </c>
    </row>
    <row r="7" spans="1:11" x14ac:dyDescent="0.35">
      <c r="A7">
        <v>316</v>
      </c>
      <c r="B7" t="s">
        <v>763</v>
      </c>
      <c r="C7" s="5">
        <v>100</v>
      </c>
      <c r="E7" t="s">
        <v>765</v>
      </c>
      <c r="F7" t="s">
        <v>750</v>
      </c>
      <c r="G7">
        <v>10</v>
      </c>
      <c r="H7" t="str">
        <f>Configuracion!$B$2</f>
        <v>ON</v>
      </c>
      <c r="I7" s="6">
        <f>Configuracion!$B$3</f>
        <v>0.15</v>
      </c>
      <c r="J7" t="str">
        <f>IF(UPPER(Configuracion!$B$2)="ON",Configuracion!$B$4,"")</f>
        <v>follow+like+comenta=15%</v>
      </c>
      <c r="K7" s="5">
        <f>IF(UPPER(Configuracion!$B$2)="ON",ROUND(C7*(1-Configuracion!$B$3),0),ROUND(C7,0))</f>
        <v>85</v>
      </c>
    </row>
    <row r="8" spans="1:11" x14ac:dyDescent="0.35">
      <c r="A8">
        <v>317</v>
      </c>
      <c r="B8" t="s">
        <v>856</v>
      </c>
      <c r="C8" s="5">
        <v>100</v>
      </c>
      <c r="E8" t="s">
        <v>768</v>
      </c>
      <c r="F8" t="s">
        <v>750</v>
      </c>
      <c r="G8">
        <v>10</v>
      </c>
      <c r="H8" t="str">
        <f>Configuracion!$B$2</f>
        <v>ON</v>
      </c>
      <c r="I8" s="6">
        <f>Configuracion!$B$3</f>
        <v>0.15</v>
      </c>
      <c r="J8" t="str">
        <f>IF(UPPER(Configuracion!$B$2)="ON",Configuracion!$B$4,"")</f>
        <v>follow+like+comenta=15%</v>
      </c>
      <c r="K8" s="5">
        <f>IF(UPPER(Configuracion!$B$2)="ON",ROUND(C8*(1-Configuracion!$B$3),0),ROUND(C8,0))</f>
        <v>85</v>
      </c>
    </row>
    <row r="9" spans="1:11" x14ac:dyDescent="0.35">
      <c r="A9">
        <v>318</v>
      </c>
      <c r="B9" t="s">
        <v>857</v>
      </c>
      <c r="C9" s="5">
        <v>100</v>
      </c>
      <c r="E9" t="s">
        <v>771</v>
      </c>
      <c r="F9" t="s">
        <v>750</v>
      </c>
      <c r="G9">
        <v>10</v>
      </c>
      <c r="H9" t="str">
        <f>Configuracion!$B$2</f>
        <v>ON</v>
      </c>
      <c r="I9" s="6">
        <f>Configuracion!$B$3</f>
        <v>0.15</v>
      </c>
      <c r="J9" t="str">
        <f>IF(UPPER(Configuracion!$B$2)="ON",Configuracion!$B$4,"")</f>
        <v>follow+like+comenta=15%</v>
      </c>
      <c r="K9" s="5">
        <f>IF(UPPER(Configuracion!$B$2)="ON",ROUND(C9*(1-Configuracion!$B$3),0),ROUND(C9,0))</f>
        <v>85</v>
      </c>
    </row>
    <row r="10" spans="1:11" x14ac:dyDescent="0.35">
      <c r="A10">
        <v>319</v>
      </c>
      <c r="B10" t="s">
        <v>858</v>
      </c>
      <c r="C10" s="5">
        <v>100</v>
      </c>
      <c r="E10" t="s">
        <v>774</v>
      </c>
      <c r="F10" t="s">
        <v>750</v>
      </c>
      <c r="G10">
        <v>10</v>
      </c>
      <c r="H10" t="str">
        <f>Configuracion!$B$2</f>
        <v>ON</v>
      </c>
      <c r="I10" s="6">
        <f>Configuracion!$B$3</f>
        <v>0.15</v>
      </c>
      <c r="J10" t="str">
        <f>IF(UPPER(Configuracion!$B$2)="ON",Configuracion!$B$4,"")</f>
        <v>follow+like+comenta=15%</v>
      </c>
      <c r="K10" s="5">
        <f>IF(UPPER(Configuracion!$B$2)="ON",ROUND(C10*(1-Configuracion!$B$3),0),ROUND(C10,0))</f>
        <v>85</v>
      </c>
    </row>
    <row r="11" spans="1:11" x14ac:dyDescent="0.35">
      <c r="A11">
        <v>320</v>
      </c>
      <c r="B11" t="s">
        <v>859</v>
      </c>
      <c r="C11" s="5">
        <v>100</v>
      </c>
      <c r="E11" t="s">
        <v>777</v>
      </c>
      <c r="F11" t="s">
        <v>750</v>
      </c>
      <c r="G11">
        <v>5</v>
      </c>
      <c r="H11" t="str">
        <f>Configuracion!$B$2</f>
        <v>ON</v>
      </c>
      <c r="I11" s="6">
        <f>Configuracion!$B$3</f>
        <v>0.15</v>
      </c>
      <c r="J11" t="str">
        <f>IF(UPPER(Configuracion!$B$2)="ON",Configuracion!$B$4,"")</f>
        <v>follow+like+comenta=15%</v>
      </c>
      <c r="K11" s="5">
        <f>IF(UPPER(Configuracion!$B$2)="ON",ROUND(C11*(1-Configuracion!$B$3),0),ROUND(C11,0))</f>
        <v>85</v>
      </c>
    </row>
    <row r="12" spans="1:11" x14ac:dyDescent="0.35">
      <c r="A12">
        <v>321</v>
      </c>
      <c r="B12" t="s">
        <v>860</v>
      </c>
      <c r="C12" s="5">
        <v>100</v>
      </c>
      <c r="E12" t="s">
        <v>780</v>
      </c>
      <c r="F12" t="s">
        <v>750</v>
      </c>
      <c r="G12">
        <v>5</v>
      </c>
      <c r="H12" t="str">
        <f>Configuracion!$B$2</f>
        <v>ON</v>
      </c>
      <c r="I12" s="6">
        <f>Configuracion!$B$3</f>
        <v>0.15</v>
      </c>
      <c r="J12" t="str">
        <f>IF(UPPER(Configuracion!$B$2)="ON",Configuracion!$B$4,"")</f>
        <v>follow+like+comenta=15%</v>
      </c>
      <c r="K12" s="5">
        <f>IF(UPPER(Configuracion!$B$2)="ON",ROUND(C12*(1-Configuracion!$B$3),0),ROUND(C12,0))</f>
        <v>85</v>
      </c>
    </row>
    <row r="13" spans="1:11" x14ac:dyDescent="0.35">
      <c r="A13">
        <v>322</v>
      </c>
      <c r="B13" t="s">
        <v>781</v>
      </c>
      <c r="C13" s="5">
        <v>100</v>
      </c>
      <c r="E13" t="s">
        <v>783</v>
      </c>
      <c r="F13" t="s">
        <v>750</v>
      </c>
      <c r="G13">
        <v>8</v>
      </c>
      <c r="H13" t="str">
        <f>Configuracion!$B$2</f>
        <v>ON</v>
      </c>
      <c r="I13" s="6">
        <f>Configuracion!$B$3</f>
        <v>0.15</v>
      </c>
      <c r="J13" t="str">
        <f>IF(UPPER(Configuracion!$B$2)="ON",Configuracion!$B$4,"")</f>
        <v>follow+like+comenta=15%</v>
      </c>
      <c r="K13" s="5">
        <f>IF(UPPER(Configuracion!$B$2)="ON",ROUND(C13*(1-Configuracion!$B$3),0),ROUND(C13,0))</f>
        <v>85</v>
      </c>
    </row>
    <row r="14" spans="1:11" x14ac:dyDescent="0.35">
      <c r="A14">
        <v>323</v>
      </c>
      <c r="B14" t="s">
        <v>784</v>
      </c>
      <c r="C14" s="5">
        <v>100</v>
      </c>
      <c r="E14" t="s">
        <v>786</v>
      </c>
      <c r="F14" t="s">
        <v>750</v>
      </c>
      <c r="G14">
        <v>9</v>
      </c>
      <c r="H14" t="str">
        <f>Configuracion!$B$2</f>
        <v>ON</v>
      </c>
      <c r="I14" s="6">
        <f>Configuracion!$B$3</f>
        <v>0.15</v>
      </c>
      <c r="J14" t="str">
        <f>IF(UPPER(Configuracion!$B$2)="ON",Configuracion!$B$4,"")</f>
        <v>follow+like+comenta=15%</v>
      </c>
      <c r="K14" s="5">
        <f>IF(UPPER(Configuracion!$B$2)="ON",ROUND(C14*(1-Configuracion!$B$3),0),ROUND(C14,0))</f>
        <v>85</v>
      </c>
    </row>
    <row r="15" spans="1:11" x14ac:dyDescent="0.35">
      <c r="A15">
        <v>324</v>
      </c>
      <c r="B15" t="s">
        <v>787</v>
      </c>
      <c r="C15" s="5">
        <v>100</v>
      </c>
      <c r="E15" t="s">
        <v>789</v>
      </c>
      <c r="F15" t="s">
        <v>750</v>
      </c>
      <c r="G15">
        <v>8</v>
      </c>
      <c r="H15" t="str">
        <f>Configuracion!$B$2</f>
        <v>ON</v>
      </c>
      <c r="I15" s="6">
        <f>Configuracion!$B$3</f>
        <v>0.15</v>
      </c>
      <c r="J15" t="str">
        <f>IF(UPPER(Configuracion!$B$2)="ON",Configuracion!$B$4,"")</f>
        <v>follow+like+comenta=15%</v>
      </c>
      <c r="K15" s="5">
        <f>IF(UPPER(Configuracion!$B$2)="ON",ROUND(C15*(1-Configuracion!$B$3),0),ROUND(C15,0))</f>
        <v>85</v>
      </c>
    </row>
    <row r="16" spans="1:11" x14ac:dyDescent="0.35">
      <c r="A16">
        <v>325</v>
      </c>
      <c r="B16" t="s">
        <v>790</v>
      </c>
      <c r="C16" s="5">
        <v>100</v>
      </c>
      <c r="E16" t="s">
        <v>792</v>
      </c>
      <c r="F16" t="s">
        <v>750</v>
      </c>
      <c r="G16">
        <v>8</v>
      </c>
      <c r="H16" t="str">
        <f>Configuracion!$B$2</f>
        <v>ON</v>
      </c>
      <c r="I16" s="6">
        <f>Configuracion!$B$3</f>
        <v>0.15</v>
      </c>
      <c r="J16" t="str">
        <f>IF(UPPER(Configuracion!$B$2)="ON",Configuracion!$B$4,"")</f>
        <v>follow+like+comenta=15%</v>
      </c>
      <c r="K16" s="5">
        <f>IF(UPPER(Configuracion!$B$2)="ON",ROUND(C16*(1-Configuracion!$B$3),0),ROUND(C16,0))</f>
        <v>85</v>
      </c>
    </row>
    <row r="17" spans="1:11" x14ac:dyDescent="0.35">
      <c r="A17">
        <v>326</v>
      </c>
      <c r="B17" t="s">
        <v>793</v>
      </c>
      <c r="C17" s="5">
        <v>100</v>
      </c>
      <c r="E17" t="s">
        <v>795</v>
      </c>
      <c r="F17" t="s">
        <v>750</v>
      </c>
      <c r="G17">
        <v>9</v>
      </c>
      <c r="H17" t="str">
        <f>Configuracion!$B$2</f>
        <v>ON</v>
      </c>
      <c r="I17" s="6">
        <f>Configuracion!$B$3</f>
        <v>0.15</v>
      </c>
      <c r="J17" t="str">
        <f>IF(UPPER(Configuracion!$B$2)="ON",Configuracion!$B$4,"")</f>
        <v>follow+like+comenta=15%</v>
      </c>
      <c r="K17" s="5">
        <f>IF(UPPER(Configuracion!$B$2)="ON",ROUND(C17*(1-Configuracion!$B$3),0),ROUND(C17,0))</f>
        <v>85</v>
      </c>
    </row>
    <row r="18" spans="1:11" x14ac:dyDescent="0.35">
      <c r="A18">
        <v>327</v>
      </c>
      <c r="B18" t="s">
        <v>796</v>
      </c>
      <c r="C18" s="5">
        <v>100</v>
      </c>
      <c r="E18" t="s">
        <v>798</v>
      </c>
      <c r="F18" t="s">
        <v>750</v>
      </c>
      <c r="G18">
        <v>8</v>
      </c>
      <c r="H18" t="str">
        <f>Configuracion!$B$2</f>
        <v>ON</v>
      </c>
      <c r="I18" s="6">
        <f>Configuracion!$B$3</f>
        <v>0.15</v>
      </c>
      <c r="J18" t="str">
        <f>IF(UPPER(Configuracion!$B$2)="ON",Configuracion!$B$4,"")</f>
        <v>follow+like+comenta=15%</v>
      </c>
      <c r="K18" s="5">
        <f>IF(UPPER(Configuracion!$B$2)="ON",ROUND(C18*(1-Configuracion!$B$3),0),ROUND(C18,0))</f>
        <v>85</v>
      </c>
    </row>
    <row r="19" spans="1:11" x14ac:dyDescent="0.35">
      <c r="A19">
        <v>328</v>
      </c>
      <c r="B19" t="s">
        <v>799</v>
      </c>
      <c r="C19" s="5">
        <v>100</v>
      </c>
      <c r="E19" t="s">
        <v>801</v>
      </c>
      <c r="F19" t="s">
        <v>750</v>
      </c>
      <c r="G19">
        <v>4</v>
      </c>
      <c r="H19" t="str">
        <f>Configuracion!$B$2</f>
        <v>ON</v>
      </c>
      <c r="I19" s="6">
        <f>Configuracion!$B$3</f>
        <v>0.15</v>
      </c>
      <c r="J19" t="str">
        <f>IF(UPPER(Configuracion!$B$2)="ON",Configuracion!$B$4,"")</f>
        <v>follow+like+comenta=15%</v>
      </c>
      <c r="K19" s="5">
        <f>IF(UPPER(Configuracion!$B$2)="ON",ROUND(C19*(1-Configuracion!$B$3),0),ROUND(C19,0))</f>
        <v>85</v>
      </c>
    </row>
    <row r="20" spans="1:11" x14ac:dyDescent="0.35">
      <c r="A20">
        <v>329</v>
      </c>
      <c r="B20" t="s">
        <v>802</v>
      </c>
      <c r="C20" s="5">
        <v>100</v>
      </c>
      <c r="E20" t="s">
        <v>804</v>
      </c>
      <c r="F20" t="s">
        <v>750</v>
      </c>
      <c r="G20">
        <v>4</v>
      </c>
      <c r="H20" t="str">
        <f>Configuracion!$B$2</f>
        <v>ON</v>
      </c>
      <c r="I20" s="6">
        <f>Configuracion!$B$3</f>
        <v>0.15</v>
      </c>
      <c r="J20" t="str">
        <f>IF(UPPER(Configuracion!$B$2)="ON",Configuracion!$B$4,"")</f>
        <v>follow+like+comenta=15%</v>
      </c>
      <c r="K20" s="5">
        <f>IF(UPPER(Configuracion!$B$2)="ON",ROUND(C20*(1-Configuracion!$B$3),0),ROUND(C20,0))</f>
        <v>85</v>
      </c>
    </row>
    <row r="21" spans="1:11" x14ac:dyDescent="0.35">
      <c r="A21">
        <v>330</v>
      </c>
      <c r="B21" t="s">
        <v>805</v>
      </c>
      <c r="C21" s="5">
        <v>100</v>
      </c>
      <c r="E21" t="s">
        <v>807</v>
      </c>
      <c r="F21" t="s">
        <v>750</v>
      </c>
      <c r="G21">
        <v>4</v>
      </c>
      <c r="H21" t="str">
        <f>Configuracion!$B$2</f>
        <v>ON</v>
      </c>
      <c r="I21" s="6">
        <f>Configuracion!$B$3</f>
        <v>0.15</v>
      </c>
      <c r="J21" t="str">
        <f>IF(UPPER(Configuracion!$B$2)="ON",Configuracion!$B$4,"")</f>
        <v>follow+like+comenta=15%</v>
      </c>
      <c r="K21" s="5">
        <f>IF(UPPER(Configuracion!$B$2)="ON",ROUND(C21*(1-Configuracion!$B$3),0),ROUND(C21,0))</f>
        <v>85</v>
      </c>
    </row>
    <row r="22" spans="1:11" x14ac:dyDescent="0.35">
      <c r="A22">
        <v>331</v>
      </c>
      <c r="B22" t="s">
        <v>808</v>
      </c>
      <c r="C22" s="5">
        <v>100</v>
      </c>
      <c r="E22" t="s">
        <v>810</v>
      </c>
      <c r="F22" t="s">
        <v>750</v>
      </c>
      <c r="G22">
        <v>4</v>
      </c>
      <c r="H22" t="str">
        <f>Configuracion!$B$2</f>
        <v>ON</v>
      </c>
      <c r="I22" s="6">
        <f>Configuracion!$B$3</f>
        <v>0.15</v>
      </c>
      <c r="J22" t="str">
        <f>IF(UPPER(Configuracion!$B$2)="ON",Configuracion!$B$4,"")</f>
        <v>follow+like+comenta=15%</v>
      </c>
      <c r="K22" s="5">
        <f>IF(UPPER(Configuracion!$B$2)="ON",ROUND(C22*(1-Configuracion!$B$3),0),ROUND(C22,0))</f>
        <v>85</v>
      </c>
    </row>
    <row r="23" spans="1:11" x14ac:dyDescent="0.35">
      <c r="A23">
        <v>332</v>
      </c>
      <c r="B23" t="s">
        <v>861</v>
      </c>
      <c r="C23" s="5">
        <v>100</v>
      </c>
      <c r="E23" t="s">
        <v>813</v>
      </c>
      <c r="F23" t="s">
        <v>750</v>
      </c>
      <c r="G23">
        <v>4</v>
      </c>
      <c r="H23" t="str">
        <f>Configuracion!$B$2</f>
        <v>ON</v>
      </c>
      <c r="I23" s="6">
        <f>Configuracion!$B$3</f>
        <v>0.15</v>
      </c>
      <c r="J23" t="str">
        <f>IF(UPPER(Configuracion!$B$2)="ON",Configuracion!$B$4,"")</f>
        <v>follow+like+comenta=15%</v>
      </c>
      <c r="K23" s="5">
        <f>IF(UPPER(Configuracion!$B$2)="ON",ROUND(C23*(1-Configuracion!$B$3),0),ROUND(C23,0))</f>
        <v>85</v>
      </c>
    </row>
    <row r="24" spans="1:11" x14ac:dyDescent="0.35">
      <c r="A24">
        <v>333</v>
      </c>
      <c r="B24" t="s">
        <v>862</v>
      </c>
      <c r="C24" s="5">
        <v>100</v>
      </c>
      <c r="E24" t="s">
        <v>816</v>
      </c>
      <c r="F24" t="s">
        <v>750</v>
      </c>
      <c r="G24">
        <v>5</v>
      </c>
      <c r="H24" t="str">
        <f>Configuracion!$B$2</f>
        <v>ON</v>
      </c>
      <c r="I24" s="6">
        <f>Configuracion!$B$3</f>
        <v>0.15</v>
      </c>
      <c r="J24" t="str">
        <f>IF(UPPER(Configuracion!$B$2)="ON",Configuracion!$B$4,"")</f>
        <v>follow+like+comenta=15%</v>
      </c>
      <c r="K24" s="5">
        <f>IF(UPPER(Configuracion!$B$2)="ON",ROUND(C24*(1-Configuracion!$B$3),0),ROUND(C24,0))</f>
        <v>85</v>
      </c>
    </row>
    <row r="25" spans="1:11" x14ac:dyDescent="0.35">
      <c r="A25">
        <v>334</v>
      </c>
      <c r="B25" t="s">
        <v>817</v>
      </c>
      <c r="C25" s="5">
        <v>100</v>
      </c>
      <c r="E25" t="s">
        <v>819</v>
      </c>
      <c r="F25" t="s">
        <v>750</v>
      </c>
      <c r="G25">
        <v>10</v>
      </c>
      <c r="H25" t="str">
        <f>Configuracion!$B$2</f>
        <v>ON</v>
      </c>
      <c r="I25" s="6">
        <f>Configuracion!$B$3</f>
        <v>0.15</v>
      </c>
      <c r="J25" t="str">
        <f>IF(UPPER(Configuracion!$B$2)="ON",Configuracion!$B$4,"")</f>
        <v>follow+like+comenta=15%</v>
      </c>
      <c r="K25" s="5">
        <f>IF(UPPER(Configuracion!$B$2)="ON",ROUND(C25*(1-Configuracion!$B$3),0),ROUND(C25,0))</f>
        <v>85</v>
      </c>
    </row>
    <row r="26" spans="1:11" x14ac:dyDescent="0.35">
      <c r="A26">
        <v>335</v>
      </c>
      <c r="B26" t="s">
        <v>820</v>
      </c>
      <c r="C26" s="5">
        <v>100</v>
      </c>
      <c r="E26" t="s">
        <v>822</v>
      </c>
      <c r="F26" t="s">
        <v>750</v>
      </c>
      <c r="G26">
        <v>10</v>
      </c>
      <c r="H26" t="str">
        <f>Configuracion!$B$2</f>
        <v>ON</v>
      </c>
      <c r="I26" s="6">
        <f>Configuracion!$B$3</f>
        <v>0.15</v>
      </c>
      <c r="J26" t="str">
        <f>IF(UPPER(Configuracion!$B$2)="ON",Configuracion!$B$4,"")</f>
        <v>follow+like+comenta=15%</v>
      </c>
      <c r="K26" s="5">
        <f>IF(UPPER(Configuracion!$B$2)="ON",ROUND(C26*(1-Configuracion!$B$3),0),ROUND(C26,0))</f>
        <v>85</v>
      </c>
    </row>
    <row r="27" spans="1:11" x14ac:dyDescent="0.35">
      <c r="A27">
        <v>336</v>
      </c>
      <c r="B27" t="s">
        <v>823</v>
      </c>
      <c r="C27" s="5">
        <v>100</v>
      </c>
      <c r="E27" t="s">
        <v>825</v>
      </c>
      <c r="F27" t="s">
        <v>750</v>
      </c>
      <c r="G27">
        <v>10</v>
      </c>
      <c r="H27" t="str">
        <f>Configuracion!$B$2</f>
        <v>ON</v>
      </c>
      <c r="I27" s="6">
        <f>Configuracion!$B$3</f>
        <v>0.15</v>
      </c>
      <c r="J27" t="str">
        <f>IF(UPPER(Configuracion!$B$2)="ON",Configuracion!$B$4,"")</f>
        <v>follow+like+comenta=15%</v>
      </c>
      <c r="K27" s="5">
        <f>IF(UPPER(Configuracion!$B$2)="ON",ROUND(C27*(1-Configuracion!$B$3),0),ROUND(C27,0))</f>
        <v>85</v>
      </c>
    </row>
    <row r="28" spans="1:11" x14ac:dyDescent="0.35">
      <c r="A28">
        <v>337</v>
      </c>
      <c r="B28" t="s">
        <v>826</v>
      </c>
      <c r="C28" s="5">
        <v>100</v>
      </c>
      <c r="E28" t="s">
        <v>828</v>
      </c>
      <c r="F28" t="s">
        <v>750</v>
      </c>
      <c r="G28">
        <v>30</v>
      </c>
      <c r="H28" t="str">
        <f>Configuracion!$B$2</f>
        <v>ON</v>
      </c>
      <c r="I28" s="6">
        <f>Configuracion!$B$3</f>
        <v>0.15</v>
      </c>
      <c r="J28" t="str">
        <f>IF(UPPER(Configuracion!$B$2)="ON",Configuracion!$B$4,"")</f>
        <v>follow+like+comenta=15%</v>
      </c>
      <c r="K28" s="5">
        <f>IF(UPPER(Configuracion!$B$2)="ON",ROUND(C28*(1-Configuracion!$B$3),0),ROUND(C28,0))</f>
        <v>85</v>
      </c>
    </row>
    <row r="29" spans="1:11" x14ac:dyDescent="0.35">
      <c r="A29">
        <v>338</v>
      </c>
      <c r="B29" t="s">
        <v>829</v>
      </c>
      <c r="C29" s="5">
        <v>100</v>
      </c>
      <c r="E29" t="s">
        <v>831</v>
      </c>
      <c r="F29" t="s">
        <v>750</v>
      </c>
      <c r="G29">
        <v>30</v>
      </c>
      <c r="H29" t="str">
        <f>Configuracion!$B$2</f>
        <v>ON</v>
      </c>
      <c r="I29" s="6">
        <f>Configuracion!$B$3</f>
        <v>0.15</v>
      </c>
      <c r="J29" t="str">
        <f>IF(UPPER(Configuracion!$B$2)="ON",Configuracion!$B$4,"")</f>
        <v>follow+like+comenta=15%</v>
      </c>
      <c r="K29" s="5">
        <f>IF(UPPER(Configuracion!$B$2)="ON",ROUND(C29*(1-Configuracion!$B$3),0),ROUND(C29,0))</f>
        <v>85</v>
      </c>
    </row>
    <row r="30" spans="1:11" x14ac:dyDescent="0.35">
      <c r="A30">
        <v>339</v>
      </c>
      <c r="B30" t="s">
        <v>832</v>
      </c>
      <c r="C30" s="5">
        <v>100</v>
      </c>
      <c r="E30" t="s">
        <v>834</v>
      </c>
      <c r="F30" t="s">
        <v>750</v>
      </c>
      <c r="G30">
        <v>24</v>
      </c>
      <c r="H30" t="str">
        <f>Configuracion!$B$2</f>
        <v>ON</v>
      </c>
      <c r="I30" s="6">
        <f>Configuracion!$B$3</f>
        <v>0.15</v>
      </c>
      <c r="J30" t="str">
        <f>IF(UPPER(Configuracion!$B$2)="ON",Configuracion!$B$4,"")</f>
        <v>follow+like+comenta=15%</v>
      </c>
      <c r="K30" s="5">
        <f>IF(UPPER(Configuracion!$B$2)="ON",ROUND(C30*(1-Configuracion!$B$3),0),ROUND(C30,0))</f>
        <v>85</v>
      </c>
    </row>
    <row r="31" spans="1:11" x14ac:dyDescent="0.35">
      <c r="A31">
        <v>340</v>
      </c>
      <c r="B31" t="s">
        <v>835</v>
      </c>
      <c r="C31" s="5">
        <v>100</v>
      </c>
      <c r="E31" t="s">
        <v>837</v>
      </c>
      <c r="F31" t="s">
        <v>750</v>
      </c>
      <c r="G31">
        <v>10</v>
      </c>
      <c r="H31" t="str">
        <f>Configuracion!$B$2</f>
        <v>ON</v>
      </c>
      <c r="I31" s="6">
        <f>Configuracion!$B$3</f>
        <v>0.15</v>
      </c>
      <c r="J31" t="str">
        <f>IF(UPPER(Configuracion!$B$2)="ON",Configuracion!$B$4,"")</f>
        <v>follow+like+comenta=15%</v>
      </c>
      <c r="K31" s="5">
        <f>IF(UPPER(Configuracion!$B$2)="ON",ROUND(C31*(1-Configuracion!$B$3),0),ROUND(C31,0))</f>
        <v>85</v>
      </c>
    </row>
    <row r="32" spans="1:11" x14ac:dyDescent="0.35">
      <c r="A32">
        <v>341</v>
      </c>
      <c r="B32" t="s">
        <v>838</v>
      </c>
      <c r="C32" s="5">
        <v>100</v>
      </c>
      <c r="E32" t="s">
        <v>837</v>
      </c>
      <c r="F32" t="s">
        <v>750</v>
      </c>
      <c r="G32">
        <v>10</v>
      </c>
      <c r="H32" t="str">
        <f>Configuracion!$B$2</f>
        <v>ON</v>
      </c>
      <c r="I32" s="6">
        <f>Configuracion!$B$3</f>
        <v>0.15</v>
      </c>
      <c r="J32" t="str">
        <f>IF(UPPER(Configuracion!$B$2)="ON",Configuracion!$B$4,"")</f>
        <v>follow+like+comenta=15%</v>
      </c>
      <c r="K32" s="5">
        <f>IF(UPPER(Configuracion!$B$2)="ON",ROUND(C32*(1-Configuracion!$B$3),0),ROUND(C32,0))</f>
        <v>85</v>
      </c>
    </row>
    <row r="33" spans="1:11" x14ac:dyDescent="0.35">
      <c r="A33">
        <v>342</v>
      </c>
      <c r="B33" t="s">
        <v>840</v>
      </c>
      <c r="C33" s="5">
        <v>100</v>
      </c>
      <c r="E33" t="s">
        <v>842</v>
      </c>
      <c r="F33" t="s">
        <v>750</v>
      </c>
      <c r="G33">
        <v>10</v>
      </c>
      <c r="H33" t="str">
        <f>Configuracion!$B$2</f>
        <v>ON</v>
      </c>
      <c r="I33" s="6">
        <f>Configuracion!$B$3</f>
        <v>0.15</v>
      </c>
      <c r="J33" t="str">
        <f>IF(UPPER(Configuracion!$B$2)="ON",Configuracion!$B$4,"")</f>
        <v>follow+like+comenta=15%</v>
      </c>
      <c r="K33" s="5">
        <f>IF(UPPER(Configuracion!$B$2)="ON",ROUND(C33*(1-Configuracion!$B$3),0),ROUND(C33,0))</f>
        <v>85</v>
      </c>
    </row>
    <row r="34" spans="1:11" x14ac:dyDescent="0.35">
      <c r="A34">
        <v>343</v>
      </c>
      <c r="B34" t="s">
        <v>843</v>
      </c>
      <c r="C34" s="5">
        <v>100</v>
      </c>
      <c r="E34" t="s">
        <v>845</v>
      </c>
      <c r="F34" t="s">
        <v>750</v>
      </c>
      <c r="G34">
        <v>10</v>
      </c>
      <c r="H34" t="str">
        <f>Configuracion!$B$2</f>
        <v>ON</v>
      </c>
      <c r="I34" s="6">
        <f>Configuracion!$B$3</f>
        <v>0.15</v>
      </c>
      <c r="J34" t="str">
        <f>IF(UPPER(Configuracion!$B$2)="ON",Configuracion!$B$4,"")</f>
        <v>follow+like+comenta=15%</v>
      </c>
      <c r="K34" s="5">
        <f>IF(UPPER(Configuracion!$B$2)="ON",ROUND(C34*(1-Configuracion!$B$3),0),ROUND(C34,0))</f>
        <v>85</v>
      </c>
    </row>
    <row r="35" spans="1:11" x14ac:dyDescent="0.35">
      <c r="A35">
        <v>344</v>
      </c>
      <c r="B35" t="s">
        <v>846</v>
      </c>
      <c r="C35" s="5">
        <v>100</v>
      </c>
      <c r="E35" t="s">
        <v>842</v>
      </c>
      <c r="F35" t="s">
        <v>750</v>
      </c>
      <c r="G35">
        <v>10</v>
      </c>
      <c r="H35" t="str">
        <f>Configuracion!$B$2</f>
        <v>ON</v>
      </c>
      <c r="I35" s="6">
        <f>Configuracion!$B$3</f>
        <v>0.15</v>
      </c>
      <c r="J35" t="str">
        <f>IF(UPPER(Configuracion!$B$2)="ON",Configuracion!$B$4,"")</f>
        <v>follow+like+comenta=15%</v>
      </c>
      <c r="K35" s="5">
        <f>IF(UPPER(Configuracion!$B$2)="ON",ROUND(C35*(1-Configuracion!$B$3),0),ROUND(C35,0))</f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Inventario</vt:lpstr>
      <vt:lpstr>Configuracion</vt:lpstr>
      <vt:lpstr>Otros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Franz Pablo Antezana Lopez</cp:lastModifiedBy>
  <dcterms:modified xsi:type="dcterms:W3CDTF">2026-03-18T08:20:27Z</dcterms:modified>
</cp:coreProperties>
</file>